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chie\Desktop\spreadsheet-testing\test case\"/>
    </mc:Choice>
  </mc:AlternateContent>
  <bookViews>
    <workbookView xWindow="0" yWindow="0" windowWidth="15330" windowHeight="7320" firstSheet="2" activeTab="3"/>
  </bookViews>
  <sheets>
    <sheet name="AmCheck" sheetId="6" r:id="rId1"/>
    <sheet name="CACheck" sheetId="5" r:id="rId2"/>
    <sheet name="CUSTODES" sheetId="7" r:id="rId3"/>
    <sheet name="CC2s" sheetId="8" r:id="rId4"/>
    <sheet name="TableCheck-1" sheetId="2" r:id="rId5"/>
    <sheet name="TableCheck-2" sheetId="4" r:id="rId6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4" i="8" l="1"/>
  <c r="H74" i="8"/>
  <c r="F74" i="8"/>
  <c r="D74" i="8"/>
  <c r="J42" i="8"/>
  <c r="H42" i="8"/>
  <c r="F42" i="8"/>
  <c r="D42" i="8"/>
  <c r="B38" i="8"/>
  <c r="B37" i="8"/>
  <c r="B36" i="8"/>
  <c r="B33" i="8"/>
  <c r="B30" i="8"/>
  <c r="B29" i="8"/>
  <c r="B28" i="8"/>
  <c r="B25" i="8"/>
  <c r="B22" i="8"/>
  <c r="B14" i="8"/>
  <c r="D17" i="7" l="1"/>
  <c r="D16" i="7"/>
  <c r="B17" i="7"/>
  <c r="B16" i="7"/>
  <c r="E6" i="7"/>
  <c r="E7" i="7"/>
  <c r="E16" i="7" s="1"/>
  <c r="D14" i="7"/>
  <c r="E9" i="7" s="1"/>
  <c r="C6" i="7"/>
  <c r="C7" i="7"/>
  <c r="B14" i="7"/>
  <c r="C8" i="7" s="1"/>
  <c r="A7" i="5"/>
  <c r="A6" i="5"/>
  <c r="A5" i="5"/>
  <c r="A4" i="5"/>
  <c r="A3" i="5"/>
  <c r="D9" i="5"/>
  <c r="C9" i="5"/>
  <c r="B9" i="5"/>
  <c r="D7" i="5"/>
  <c r="D6" i="5"/>
  <c r="D5" i="5"/>
  <c r="D4" i="5"/>
  <c r="F4" i="5" s="1"/>
  <c r="F3" i="5"/>
  <c r="D3" i="5"/>
  <c r="F2" i="5"/>
  <c r="F9" i="5" s="1"/>
  <c r="D2" i="5"/>
  <c r="F9" i="6"/>
  <c r="D9" i="6"/>
  <c r="C9" i="6"/>
  <c r="B9" i="6"/>
  <c r="F4" i="6"/>
  <c r="F3" i="6"/>
  <c r="F2" i="6"/>
  <c r="D7" i="6"/>
  <c r="D6" i="6"/>
  <c r="D5" i="6"/>
  <c r="D4" i="6"/>
  <c r="D3" i="6"/>
  <c r="D2" i="6"/>
  <c r="C17" i="7" l="1"/>
  <c r="C5" i="7"/>
  <c r="E5" i="7"/>
  <c r="E4" i="7"/>
  <c r="E14" i="7" s="1"/>
  <c r="C11" i="7"/>
  <c r="E12" i="7"/>
  <c r="C12" i="7"/>
  <c r="C9" i="7"/>
  <c r="C16" i="7" s="1"/>
  <c r="E10" i="7"/>
  <c r="C4" i="7"/>
  <c r="D8" i="4"/>
  <c r="D7" i="4"/>
  <c r="D6" i="4"/>
  <c r="D5" i="4"/>
  <c r="D4" i="4"/>
  <c r="D3" i="4"/>
  <c r="E17" i="7" l="1"/>
  <c r="D8" i="2"/>
  <c r="D4" i="2"/>
  <c r="D5" i="2"/>
  <c r="D6" i="2"/>
  <c r="D7" i="2"/>
  <c r="D3" i="2"/>
  <c r="F18" i="2"/>
</calcChain>
</file>

<file path=xl/sharedStrings.xml><?xml version="1.0" encoding="utf-8"?>
<sst xmlns="http://schemas.openxmlformats.org/spreadsheetml/2006/main" count="197" uniqueCount="84">
  <si>
    <t>Apple</t>
    <phoneticPr fontId="3" type="noConversion"/>
  </si>
  <si>
    <t>Total</t>
    <phoneticPr fontId="3" type="noConversion"/>
  </si>
  <si>
    <t xml:space="preserve">January </t>
  </si>
  <si>
    <t>February</t>
    <phoneticPr fontId="3" type="noConversion"/>
  </si>
  <si>
    <t>March</t>
    <phoneticPr fontId="3" type="noConversion"/>
  </si>
  <si>
    <t>April</t>
    <phoneticPr fontId="3" type="noConversion"/>
  </si>
  <si>
    <t xml:space="preserve">May </t>
    <phoneticPr fontId="3" type="noConversion"/>
  </si>
  <si>
    <t xml:space="preserve">June </t>
    <phoneticPr fontId="3" type="noConversion"/>
  </si>
  <si>
    <t>Fruit</t>
    <phoneticPr fontId="1" type="noConversion"/>
  </si>
  <si>
    <t>Month</t>
    <phoneticPr fontId="1" type="noConversion"/>
  </si>
  <si>
    <t>Apple</t>
    <phoneticPr fontId="1" type="noConversion"/>
  </si>
  <si>
    <t>Orange</t>
    <phoneticPr fontId="1" type="noConversion"/>
  </si>
  <si>
    <t>Orange</t>
    <phoneticPr fontId="3" type="noConversion"/>
  </si>
  <si>
    <t>Total</t>
    <phoneticPr fontId="1" type="noConversion"/>
  </si>
  <si>
    <t>Price</t>
    <phoneticPr fontId="1" type="noConversion"/>
  </si>
  <si>
    <t>Total Price</t>
    <phoneticPr fontId="1" type="noConversion"/>
  </si>
  <si>
    <t>Febrary</t>
    <phoneticPr fontId="1" type="noConversion"/>
  </si>
  <si>
    <t>March</t>
    <phoneticPr fontId="1" type="noConversion"/>
  </si>
  <si>
    <t>April</t>
    <phoneticPr fontId="1" type="noConversion"/>
  </si>
  <si>
    <t>May</t>
    <phoneticPr fontId="1" type="noConversion"/>
  </si>
  <si>
    <t>June</t>
    <phoneticPr fontId="1" type="noConversion"/>
  </si>
  <si>
    <t>July</t>
    <phoneticPr fontId="1" type="noConversion"/>
  </si>
  <si>
    <t>Total</t>
    <phoneticPr fontId="1" type="noConversion"/>
  </si>
  <si>
    <t>Month</t>
    <phoneticPr fontId="1" type="noConversion"/>
  </si>
  <si>
    <t>DEPOSITS/SHARES</t>
    <phoneticPr fontId="1" type="noConversion"/>
  </si>
  <si>
    <t>Dollars</t>
    <phoneticPr fontId="1" type="noConversion"/>
  </si>
  <si>
    <t>% of</t>
    <phoneticPr fontId="1" type="noConversion"/>
  </si>
  <si>
    <t>Dollars</t>
    <phoneticPr fontId="1" type="noConversion"/>
  </si>
  <si>
    <t>LOANS</t>
    <phoneticPr fontId="1" type="noConversion"/>
  </si>
  <si>
    <t>(000's)</t>
    <phoneticPr fontId="1" type="noConversion"/>
  </si>
  <si>
    <t>(000's)</t>
    <phoneticPr fontId="1" type="noConversion"/>
  </si>
  <si>
    <t>Trust Companies</t>
    <phoneticPr fontId="1" type="noConversion"/>
  </si>
  <si>
    <t>Limited Purpose Banks</t>
    <phoneticPr fontId="1" type="noConversion"/>
  </si>
  <si>
    <t>National Banks*</t>
    <phoneticPr fontId="1" type="noConversion"/>
  </si>
  <si>
    <t>State Savings Banks</t>
    <phoneticPr fontId="1" type="noConversion"/>
  </si>
  <si>
    <t>Federal Savings Banks</t>
    <phoneticPr fontId="1" type="noConversion"/>
  </si>
  <si>
    <t>State Savings and Loans</t>
    <phoneticPr fontId="1" type="noConversion"/>
  </si>
  <si>
    <t>Federal Savings and Loans</t>
    <phoneticPr fontId="1" type="noConversion"/>
  </si>
  <si>
    <t>State Credit Unions</t>
    <phoneticPr fontId="1" type="noConversion"/>
  </si>
  <si>
    <t>Federal Credit Unions</t>
    <phoneticPr fontId="1" type="noConversion"/>
  </si>
  <si>
    <t>TOTAL</t>
    <phoneticPr fontId="1" type="noConversion"/>
  </si>
  <si>
    <t>State</t>
    <phoneticPr fontId="1" type="noConversion"/>
  </si>
  <si>
    <t>Federal</t>
    <phoneticPr fontId="1" type="noConversion"/>
  </si>
  <si>
    <t>Items Included in Reported Earnings</t>
  </si>
  <si>
    <t>Dollars in millions, except per share amounts</t>
  </si>
  <si>
    <t>Unaudited</t>
  </si>
  <si>
    <t>CROP YEAR 2003</t>
  </si>
  <si>
    <t>FY03</t>
  </si>
  <si>
    <t>12 months</t>
  </si>
  <si>
    <t>4th Qtr</t>
  </si>
  <si>
    <t>3rd Qtr</t>
  </si>
  <si>
    <t>2nd Qtr</t>
  </si>
  <si>
    <t>1st Qtr</t>
  </si>
  <si>
    <t>9/1/02 - 8/31/03</t>
  </si>
  <si>
    <t>6/1/03 - 8/31/03</t>
  </si>
  <si>
    <t>3/1/03 - 5/31/03</t>
  </si>
  <si>
    <t>12/1/02 - 2/28/03</t>
  </si>
  <si>
    <t>9/1/02 - 11/30/02</t>
  </si>
  <si>
    <t>Items Included in Reported Earnings PRETAX</t>
  </si>
  <si>
    <t>Adoption of FAS 142 (goodwill impairment)</t>
  </si>
  <si>
    <t>Adoption of FAS 143 (asset retirement obligations)</t>
  </si>
  <si>
    <t>Anniston settlement</t>
  </si>
  <si>
    <t>Argentine bad-debt reserve</t>
  </si>
  <si>
    <t>Japan asset sale</t>
  </si>
  <si>
    <t>Net restructuring charges</t>
  </si>
  <si>
    <t>Items Included in Reported Earnings AFTERTAX</t>
  </si>
  <si>
    <t>Items Included in Reported Earnings (Per Diluted Share Basis) PRETAX</t>
  </si>
  <si>
    <t>Items Included in Reported Earnings (Per Diluted Share Basis) AFTERTAX</t>
  </si>
  <si>
    <t>CROP YEAR 2002</t>
  </si>
  <si>
    <t>FY02</t>
  </si>
  <si>
    <t>Full Year</t>
  </si>
  <si>
    <t>9/1/01 - 8/31/02</t>
  </si>
  <si>
    <t>6/1/02 - 8/31/02</t>
  </si>
  <si>
    <t>3/1/02 - 5/31/02</t>
  </si>
  <si>
    <t>12/1/01 - 2/28/02</t>
  </si>
  <si>
    <t>9/1/01 - 11/30/01</t>
  </si>
  <si>
    <t xml:space="preserve"> </t>
  </si>
  <si>
    <t>CROP YEAR 2001</t>
  </si>
  <si>
    <t>FY01</t>
  </si>
  <si>
    <t>9/1/00 - 8/31/01</t>
  </si>
  <si>
    <t>6/1/01 - 8/31/01</t>
  </si>
  <si>
    <t>3/1/01 - 5/31/01</t>
  </si>
  <si>
    <t>12/1/00 - 2/28/01</t>
  </si>
  <si>
    <t>9/1/00 - 11/30/00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</si>
</sst>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</numFmts>
  <fonts count="9" x14ac:knownFonts="1">
    <font>
      <sz val="10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sz val="8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Font="1" applyFill="1" applyBorder="1"/>
    <xf numFmtId="0" fontId="2" fillId="0" borderId="0" xfId="0" applyFont="1" applyFill="1" applyBorder="1"/>
    <xf numFmtId="0" fontId="4" fillId="0" borderId="0" xfId="0" applyFont="1" applyFill="1" applyBorder="1" applyAlignment="1">
      <alignment vertical="center"/>
    </xf>
    <xf numFmtId="49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  <xf numFmtId="0" fontId="0" fillId="2" borderId="0" xfId="0" applyFont="1" applyFill="1" applyBorder="1"/>
    <xf numFmtId="0" fontId="2" fillId="0" borderId="0" xfId="0" applyFont="1"/>
    <xf numFmtId="0" fontId="6" fillId="0" borderId="0" xfId="0" applyFont="1" applyBorder="1"/>
    <xf numFmtId="0" fontId="7" fillId="0" borderId="0" xfId="0" applyFont="1" applyBorder="1"/>
    <xf numFmtId="0" fontId="7" fillId="0" borderId="0" xfId="0" applyFont="1"/>
    <xf numFmtId="0" fontId="8" fillId="0" borderId="0" xfId="0" applyFont="1" applyBorder="1"/>
    <xf numFmtId="0" fontId="8" fillId="0" borderId="0" xfId="0" applyFont="1"/>
    <xf numFmtId="0" fontId="2" fillId="0" borderId="0" xfId="0" applyFont="1" applyBorder="1"/>
    <xf numFmtId="0" fontId="2" fillId="3" borderId="0" xfId="0" applyFont="1" applyFill="1" applyAlignment="1">
      <alignment horizontal="center"/>
    </xf>
    <xf numFmtId="0" fontId="5" fillId="0" borderId="0" xfId="0" applyFont="1" applyBorder="1"/>
    <xf numFmtId="0" fontId="2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/>
    <xf numFmtId="0" fontId="2" fillId="3" borderId="1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38" fontId="5" fillId="0" borderId="0" xfId="0" applyNumberFormat="1" applyFont="1"/>
    <xf numFmtId="177" fontId="5" fillId="3" borderId="0" xfId="1" applyNumberFormat="1" applyFont="1" applyFill="1" applyBorder="1" applyAlignment="1"/>
    <xf numFmtId="177" fontId="5" fillId="0" borderId="0" xfId="1" applyNumberFormat="1" applyFont="1" applyFill="1" applyBorder="1" applyAlignment="1"/>
    <xf numFmtId="177" fontId="5" fillId="0" borderId="0" xfId="1" applyNumberFormat="1" applyFont="1" applyBorder="1" applyAlignment="1"/>
    <xf numFmtId="0" fontId="5" fillId="0" borderId="0" xfId="0" applyFont="1" applyFill="1"/>
    <xf numFmtId="177" fontId="2" fillId="0" borderId="0" xfId="0" quotePrefix="1" applyNumberFormat="1" applyFont="1" applyFill="1" applyBorder="1" applyAlignment="1">
      <alignment horizontal="center"/>
    </xf>
    <xf numFmtId="177" fontId="5" fillId="0" borderId="0" xfId="0" applyNumberFormat="1" applyFont="1" applyFill="1"/>
    <xf numFmtId="177" fontId="2" fillId="0" borderId="0" xfId="0" applyNumberFormat="1" applyFont="1" applyFill="1" applyBorder="1" applyAlignment="1">
      <alignment horizontal="center"/>
    </xf>
    <xf numFmtId="177" fontId="5" fillId="0" borderId="0" xfId="0" applyNumberFormat="1" applyFont="1"/>
    <xf numFmtId="38" fontId="5" fillId="0" borderId="0" xfId="0" applyNumberFormat="1" applyFont="1" applyBorder="1"/>
    <xf numFmtId="178" fontId="5" fillId="3" borderId="0" xfId="1" applyNumberFormat="1" applyFont="1" applyFill="1" applyBorder="1" applyAlignment="1"/>
    <xf numFmtId="178" fontId="5" fillId="0" borderId="0" xfId="1" applyNumberFormat="1" applyFont="1" applyFill="1" applyBorder="1" applyAlignment="1"/>
    <xf numFmtId="178" fontId="5" fillId="0" borderId="0" xfId="1" applyNumberFormat="1" applyFont="1" applyBorder="1" applyAlignment="1"/>
    <xf numFmtId="178" fontId="5" fillId="0" borderId="0" xfId="0" applyNumberFormat="1" applyFont="1"/>
    <xf numFmtId="0" fontId="2" fillId="3" borderId="1" xfId="0" applyFont="1" applyFill="1" applyBorder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F9"/>
    </sheetView>
  </sheetViews>
  <sheetFormatPr defaultRowHeight="12.75" x14ac:dyDescent="0.2"/>
  <sheetData>
    <row r="1" spans="1:6" x14ac:dyDescent="0.2">
      <c r="B1" t="s">
        <v>10</v>
      </c>
      <c r="C1" t="s">
        <v>11</v>
      </c>
      <c r="D1" t="s">
        <v>13</v>
      </c>
      <c r="E1" t="s">
        <v>14</v>
      </c>
      <c r="F1" t="s">
        <v>15</v>
      </c>
    </row>
    <row r="2" spans="1:6" x14ac:dyDescent="0.2">
      <c r="A2" t="s">
        <v>16</v>
      </c>
      <c r="B2">
        <v>1</v>
      </c>
      <c r="D2">
        <f>B2</f>
        <v>1</v>
      </c>
      <c r="E2">
        <v>2</v>
      </c>
      <c r="F2">
        <f>D2*E2</f>
        <v>2</v>
      </c>
    </row>
    <row r="3" spans="1:6" x14ac:dyDescent="0.2">
      <c r="A3" t="s">
        <v>17</v>
      </c>
      <c r="B3">
        <v>2</v>
      </c>
      <c r="D3">
        <f>B3</f>
        <v>2</v>
      </c>
      <c r="E3">
        <v>2</v>
      </c>
      <c r="F3">
        <f>D3*E3</f>
        <v>4</v>
      </c>
    </row>
    <row r="4" spans="1:6" x14ac:dyDescent="0.2">
      <c r="A4" t="s">
        <v>18</v>
      </c>
      <c r="B4">
        <v>3</v>
      </c>
      <c r="D4">
        <f>B4-C4</f>
        <v>3</v>
      </c>
      <c r="E4">
        <v>2</v>
      </c>
      <c r="F4">
        <f>D4*E4</f>
        <v>6</v>
      </c>
    </row>
    <row r="5" spans="1:6" x14ac:dyDescent="0.2">
      <c r="A5" t="s">
        <v>19</v>
      </c>
      <c r="B5">
        <v>4</v>
      </c>
      <c r="C5">
        <v>1</v>
      </c>
      <c r="D5">
        <f>B5+C5</f>
        <v>5</v>
      </c>
      <c r="E5">
        <v>3</v>
      </c>
      <c r="F5">
        <v>15</v>
      </c>
    </row>
    <row r="6" spans="1:6" x14ac:dyDescent="0.2">
      <c r="A6" t="s">
        <v>20</v>
      </c>
      <c r="C6">
        <v>5</v>
      </c>
      <c r="D6">
        <f>C6</f>
        <v>5</v>
      </c>
      <c r="E6">
        <v>4</v>
      </c>
      <c r="F6">
        <v>20</v>
      </c>
    </row>
    <row r="7" spans="1:6" x14ac:dyDescent="0.2">
      <c r="A7" t="s">
        <v>21</v>
      </c>
      <c r="C7">
        <v>6</v>
      </c>
      <c r="D7">
        <f>C7</f>
        <v>6</v>
      </c>
      <c r="E7">
        <v>3</v>
      </c>
      <c r="F7">
        <v>12</v>
      </c>
    </row>
    <row r="9" spans="1:6" x14ac:dyDescent="0.2">
      <c r="A9" t="s">
        <v>22</v>
      </c>
      <c r="B9">
        <f>SUM(B2:B5)</f>
        <v>10</v>
      </c>
      <c r="C9">
        <f>C5+C6+C7</f>
        <v>12</v>
      </c>
      <c r="D9">
        <f>SUM(B9:C9)</f>
        <v>22</v>
      </c>
      <c r="F9">
        <f>SUM(F2:F7)</f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1" sqref="F11"/>
    </sheetView>
  </sheetViews>
  <sheetFormatPr defaultRowHeight="12.75" x14ac:dyDescent="0.2"/>
  <sheetData>
    <row r="1" spans="1:6" x14ac:dyDescent="0.2">
      <c r="A1" s="7" t="s">
        <v>23</v>
      </c>
      <c r="B1" t="s">
        <v>10</v>
      </c>
      <c r="C1" t="s">
        <v>11</v>
      </c>
      <c r="D1" t="s">
        <v>13</v>
      </c>
      <c r="E1" t="s">
        <v>14</v>
      </c>
      <c r="F1" t="s">
        <v>15</v>
      </c>
    </row>
    <row r="2" spans="1:6" x14ac:dyDescent="0.2">
      <c r="A2">
        <v>2</v>
      </c>
      <c r="B2">
        <v>1</v>
      </c>
      <c r="D2">
        <f>B2</f>
        <v>1</v>
      </c>
      <c r="E2">
        <v>2</v>
      </c>
      <c r="F2">
        <f>D2*E2</f>
        <v>2</v>
      </c>
    </row>
    <row r="3" spans="1:6" x14ac:dyDescent="0.2">
      <c r="A3">
        <f>A2+1</f>
        <v>3</v>
      </c>
      <c r="B3">
        <v>2</v>
      </c>
      <c r="D3">
        <f>B3</f>
        <v>2</v>
      </c>
      <c r="E3">
        <v>2</v>
      </c>
      <c r="F3">
        <f>D3*E3</f>
        <v>4</v>
      </c>
    </row>
    <row r="4" spans="1:6" x14ac:dyDescent="0.2">
      <c r="A4">
        <f>A3+1</f>
        <v>4</v>
      </c>
      <c r="B4">
        <v>3</v>
      </c>
      <c r="D4">
        <f>B4-C4</f>
        <v>3</v>
      </c>
      <c r="E4">
        <v>2</v>
      </c>
      <c r="F4">
        <f>D4*E4</f>
        <v>6</v>
      </c>
    </row>
    <row r="5" spans="1:6" x14ac:dyDescent="0.2">
      <c r="A5">
        <f>A4+1</f>
        <v>5</v>
      </c>
      <c r="B5">
        <v>4</v>
      </c>
      <c r="C5">
        <v>1</v>
      </c>
      <c r="D5">
        <f>B5+C5</f>
        <v>5</v>
      </c>
      <c r="E5">
        <v>3</v>
      </c>
      <c r="F5">
        <v>15</v>
      </c>
    </row>
    <row r="6" spans="1:6" x14ac:dyDescent="0.2">
      <c r="A6">
        <f>A5+1</f>
        <v>6</v>
      </c>
      <c r="C6">
        <v>5</v>
      </c>
      <c r="D6">
        <f>C6</f>
        <v>5</v>
      </c>
      <c r="E6">
        <v>4</v>
      </c>
      <c r="F6">
        <v>20</v>
      </c>
    </row>
    <row r="7" spans="1:6" x14ac:dyDescent="0.2">
      <c r="A7">
        <f>A6+1</f>
        <v>7</v>
      </c>
      <c r="C7">
        <v>6</v>
      </c>
      <c r="D7">
        <f>C7</f>
        <v>6</v>
      </c>
      <c r="E7">
        <v>3</v>
      </c>
      <c r="F7">
        <v>12</v>
      </c>
    </row>
    <row r="9" spans="1:6" x14ac:dyDescent="0.2">
      <c r="A9" t="s">
        <v>22</v>
      </c>
      <c r="B9">
        <f>SUM(B2:B5)</f>
        <v>10</v>
      </c>
      <c r="C9">
        <f>C5+C6+C7</f>
        <v>12</v>
      </c>
      <c r="D9">
        <f>SUM(B9:C9)</f>
        <v>22</v>
      </c>
      <c r="F9">
        <f>SUM(F2:F7)</f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Formulas="1" workbookViewId="0">
      <selection activeCell="C20" sqref="C20"/>
    </sheetView>
  </sheetViews>
  <sheetFormatPr defaultRowHeight="12.75" x14ac:dyDescent="0.2"/>
  <cols>
    <col min="1" max="1" width="12.85546875" customWidth="1"/>
    <col min="2" max="2" width="12" customWidth="1"/>
    <col min="3" max="4" width="11.85546875" customWidth="1"/>
    <col min="5" max="5" width="11.28515625" bestFit="1" customWidth="1"/>
  </cols>
  <sheetData>
    <row r="1" spans="1:5" x14ac:dyDescent="0.2">
      <c r="B1" t="s">
        <v>24</v>
      </c>
      <c r="D1" t="s">
        <v>28</v>
      </c>
    </row>
    <row r="2" spans="1:5" x14ac:dyDescent="0.2">
      <c r="B2" t="s">
        <v>25</v>
      </c>
      <c r="C2" t="s">
        <v>26</v>
      </c>
      <c r="D2" t="s">
        <v>27</v>
      </c>
      <c r="E2" t="s">
        <v>26</v>
      </c>
    </row>
    <row r="3" spans="1:5" x14ac:dyDescent="0.2">
      <c r="B3" t="s">
        <v>29</v>
      </c>
      <c r="C3" t="s">
        <v>13</v>
      </c>
      <c r="D3" t="s">
        <v>30</v>
      </c>
      <c r="E3" t="s">
        <v>13</v>
      </c>
    </row>
    <row r="4" spans="1:5" x14ac:dyDescent="0.2">
      <c r="A4" t="s">
        <v>31</v>
      </c>
      <c r="B4">
        <v>1447458</v>
      </c>
      <c r="C4">
        <f>B4/B$14*100</f>
        <v>15.773843059928829</v>
      </c>
      <c r="D4">
        <v>1377629</v>
      </c>
      <c r="E4">
        <f>D4/D$14*100</f>
        <v>14.078760915255534</v>
      </c>
    </row>
    <row r="5" spans="1:5" x14ac:dyDescent="0.2">
      <c r="A5" t="s">
        <v>32</v>
      </c>
      <c r="B5">
        <v>0</v>
      </c>
      <c r="C5">
        <f t="shared" ref="C5:C12" si="0">B5/B$14*100</f>
        <v>0</v>
      </c>
      <c r="D5">
        <v>404</v>
      </c>
      <c r="E5">
        <f t="shared" ref="E5:E12" si="1">D5/D$14*100</f>
        <v>4.1287018564237802E-3</v>
      </c>
    </row>
    <row r="6" spans="1:5" x14ac:dyDescent="0.2">
      <c r="A6" t="s">
        <v>33</v>
      </c>
      <c r="B6">
        <v>744090</v>
      </c>
      <c r="C6">
        <f t="shared" si="0"/>
        <v>8.1088079118443801</v>
      </c>
      <c r="D6">
        <v>65082</v>
      </c>
      <c r="E6">
        <f t="shared" si="1"/>
        <v>0.66510934212814965</v>
      </c>
    </row>
    <row r="7" spans="1:5" x14ac:dyDescent="0.2">
      <c r="A7" t="s">
        <v>34</v>
      </c>
      <c r="B7">
        <v>5010519</v>
      </c>
      <c r="C7">
        <f t="shared" si="0"/>
        <v>54.602717560572763</v>
      </c>
      <c r="D7">
        <v>4859363</v>
      </c>
      <c r="E7">
        <f t="shared" si="1"/>
        <v>49.660547126576802</v>
      </c>
    </row>
    <row r="8" spans="1:5" x14ac:dyDescent="0.2">
      <c r="A8" t="s">
        <v>35</v>
      </c>
      <c r="B8">
        <v>739898</v>
      </c>
      <c r="C8">
        <f t="shared" si="0"/>
        <v>8.0631251009391782</v>
      </c>
      <c r="D8">
        <v>859251</v>
      </c>
      <c r="E8">
        <v>8.8000000000000007</v>
      </c>
    </row>
    <row r="9" spans="1:5" x14ac:dyDescent="0.2">
      <c r="A9" t="s">
        <v>36</v>
      </c>
      <c r="B9">
        <v>103550</v>
      </c>
      <c r="C9">
        <f t="shared" si="0"/>
        <v>1.1284482512484855</v>
      </c>
      <c r="D9">
        <v>107427</v>
      </c>
      <c r="E9">
        <f t="shared" si="1"/>
        <v>1.097856570123855</v>
      </c>
    </row>
    <row r="10" spans="1:5" x14ac:dyDescent="0.2">
      <c r="A10" t="s">
        <v>37</v>
      </c>
      <c r="B10">
        <v>206822</v>
      </c>
      <c r="C10">
        <v>2.25</v>
      </c>
      <c r="D10">
        <v>211442</v>
      </c>
      <c r="E10">
        <f t="shared" si="1"/>
        <v>2.1608440047672199</v>
      </c>
    </row>
    <row r="11" spans="1:5" x14ac:dyDescent="0.2">
      <c r="A11" t="s">
        <v>38</v>
      </c>
      <c r="B11">
        <v>711205</v>
      </c>
      <c r="C11">
        <f t="shared" si="0"/>
        <v>7.7504397733382833</v>
      </c>
      <c r="D11">
        <v>568652</v>
      </c>
      <c r="E11">
        <v>5.8</v>
      </c>
    </row>
    <row r="12" spans="1:5" x14ac:dyDescent="0.2">
      <c r="A12" t="s">
        <v>39</v>
      </c>
      <c r="B12">
        <v>212776</v>
      </c>
      <c r="C12">
        <f t="shared" si="0"/>
        <v>2.3187513771863619</v>
      </c>
      <c r="D12">
        <v>1735908</v>
      </c>
      <c r="E12">
        <f t="shared" si="1"/>
        <v>17.740214312328938</v>
      </c>
    </row>
    <row r="14" spans="1:5" x14ac:dyDescent="0.2">
      <c r="A14" t="s">
        <v>40</v>
      </c>
      <c r="B14">
        <f>SUM(B4:B13)</f>
        <v>9176318</v>
      </c>
      <c r="C14">
        <v>100</v>
      </c>
      <c r="D14">
        <f>SUM(D4:D13)</f>
        <v>9785158</v>
      </c>
      <c r="E14">
        <f>SUM(E4:E12)</f>
        <v>100.0074609730369</v>
      </c>
    </row>
    <row r="16" spans="1:5" x14ac:dyDescent="0.2">
      <c r="A16" t="s">
        <v>41</v>
      </c>
      <c r="B16">
        <f>SUM(B7,B9,B11)</f>
        <v>5825274</v>
      </c>
      <c r="C16">
        <f t="shared" ref="C16:E16" si="2">SUM(C7,C9,C11)</f>
        <v>63.481605585159535</v>
      </c>
      <c r="D16">
        <f t="shared" si="2"/>
        <v>5535442</v>
      </c>
      <c r="E16">
        <f t="shared" si="2"/>
        <v>56.558403696700651</v>
      </c>
    </row>
    <row r="17" spans="1:5" x14ac:dyDescent="0.2">
      <c r="A17" t="s">
        <v>42</v>
      </c>
      <c r="B17">
        <f>SUM(B8,B10,B12)</f>
        <v>1159496</v>
      </c>
      <c r="C17">
        <f t="shared" ref="C17:D17" si="3">SUM(C8,C10,C12)</f>
        <v>12.631876478125541</v>
      </c>
      <c r="D17">
        <f t="shared" si="3"/>
        <v>2806601</v>
      </c>
      <c r="E17">
        <f>E8+E10+E12</f>
        <v>28.701058317096159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abSelected="1" workbookViewId="0">
      <selection activeCell="N11" sqref="N11"/>
    </sheetView>
  </sheetViews>
  <sheetFormatPr defaultRowHeight="12.75" x14ac:dyDescent="0.2"/>
  <sheetData>
    <row r="1" spans="1:10" ht="30" x14ac:dyDescent="0.4">
      <c r="A1" s="8" t="s">
        <v>43</v>
      </c>
      <c r="B1" s="9"/>
      <c r="C1" s="10"/>
      <c r="D1" s="10"/>
      <c r="E1" s="10"/>
      <c r="F1" s="9"/>
      <c r="G1" s="10"/>
      <c r="H1" s="9"/>
      <c r="I1" s="10"/>
      <c r="J1" s="9"/>
    </row>
    <row r="2" spans="1:10" ht="20.25" x14ac:dyDescent="0.3">
      <c r="A2" s="7" t="s">
        <v>44</v>
      </c>
      <c r="B2" s="11"/>
      <c r="C2" s="12"/>
      <c r="D2" s="12"/>
      <c r="E2" s="12"/>
      <c r="F2" s="11"/>
      <c r="G2" s="12"/>
      <c r="H2" s="11"/>
      <c r="I2" s="12"/>
      <c r="J2" s="11"/>
    </row>
    <row r="3" spans="1:10" ht="20.25" x14ac:dyDescent="0.3">
      <c r="A3" s="7" t="s">
        <v>45</v>
      </c>
      <c r="B3" s="11"/>
      <c r="C3" s="12"/>
      <c r="D3" s="12"/>
      <c r="E3" s="12"/>
      <c r="F3" s="11"/>
      <c r="G3" s="12"/>
      <c r="H3" s="11"/>
      <c r="I3" s="12"/>
      <c r="J3" s="11"/>
    </row>
    <row r="4" spans="1:10" ht="20.25" x14ac:dyDescent="0.3">
      <c r="A4" s="7"/>
      <c r="B4" s="11"/>
      <c r="C4" s="12"/>
      <c r="D4" s="12"/>
      <c r="E4" s="12"/>
      <c r="F4" s="11"/>
      <c r="G4" s="12"/>
      <c r="H4" s="11"/>
      <c r="I4" s="12"/>
      <c r="J4" s="11"/>
    </row>
    <row r="5" spans="1:10" x14ac:dyDescent="0.2">
      <c r="A5" s="13" t="s">
        <v>46</v>
      </c>
      <c r="B5" s="14" t="s">
        <v>47</v>
      </c>
      <c r="C5" s="15"/>
      <c r="D5" s="16" t="s">
        <v>47</v>
      </c>
      <c r="E5" s="15"/>
      <c r="F5" s="16" t="s">
        <v>47</v>
      </c>
      <c r="G5" s="15"/>
      <c r="H5" s="16" t="s">
        <v>47</v>
      </c>
      <c r="I5" s="15"/>
      <c r="J5" s="16" t="s">
        <v>47</v>
      </c>
    </row>
    <row r="6" spans="1:10" x14ac:dyDescent="0.2">
      <c r="A6" s="15"/>
      <c r="B6" s="17" t="s">
        <v>48</v>
      </c>
      <c r="C6" s="15"/>
      <c r="D6" s="18" t="s">
        <v>49</v>
      </c>
      <c r="E6" s="15"/>
      <c r="F6" s="18" t="s">
        <v>50</v>
      </c>
      <c r="G6" s="15"/>
      <c r="H6" s="18" t="s">
        <v>51</v>
      </c>
      <c r="I6" s="15"/>
      <c r="J6" s="18" t="s">
        <v>52</v>
      </c>
    </row>
    <row r="7" spans="1:10" x14ac:dyDescent="0.2">
      <c r="A7" s="19"/>
      <c r="B7" s="20" t="s">
        <v>53</v>
      </c>
      <c r="C7" s="19"/>
      <c r="D7" s="21" t="s">
        <v>54</v>
      </c>
      <c r="E7" s="19"/>
      <c r="F7" s="22" t="s">
        <v>55</v>
      </c>
      <c r="G7" s="19"/>
      <c r="H7" s="22" t="s">
        <v>56</v>
      </c>
      <c r="I7" s="19"/>
      <c r="J7" s="21" t="s">
        <v>57</v>
      </c>
    </row>
    <row r="8" spans="1:10" x14ac:dyDescent="0.2">
      <c r="A8" s="7" t="s">
        <v>58</v>
      </c>
      <c r="B8" s="23"/>
      <c r="C8" s="23"/>
      <c r="D8" s="23"/>
      <c r="E8" s="23"/>
      <c r="F8" s="23"/>
      <c r="G8" s="23"/>
      <c r="H8" s="23"/>
      <c r="I8" s="23"/>
      <c r="J8" s="23"/>
    </row>
    <row r="9" spans="1:10" x14ac:dyDescent="0.2">
      <c r="A9" s="19" t="s">
        <v>59</v>
      </c>
      <c r="B9" s="24">
        <v>0</v>
      </c>
      <c r="C9" s="25"/>
      <c r="D9" s="26">
        <v>0</v>
      </c>
      <c r="E9" s="25"/>
      <c r="F9" s="26">
        <v>0</v>
      </c>
      <c r="G9" s="25"/>
      <c r="H9" s="26">
        <v>0</v>
      </c>
      <c r="I9" s="25"/>
      <c r="J9" s="26">
        <v>0</v>
      </c>
    </row>
    <row r="10" spans="1:10" x14ac:dyDescent="0.2">
      <c r="A10" s="19" t="s">
        <v>60</v>
      </c>
      <c r="B10" s="24">
        <v>-19</v>
      </c>
      <c r="C10" s="25"/>
      <c r="D10" s="26">
        <v>0</v>
      </c>
      <c r="E10" s="25"/>
      <c r="F10" s="26">
        <v>0</v>
      </c>
      <c r="G10" s="25"/>
      <c r="H10" s="26">
        <v>-19</v>
      </c>
      <c r="I10" s="25"/>
      <c r="J10" s="26">
        <v>0</v>
      </c>
    </row>
    <row r="11" spans="1:10" x14ac:dyDescent="0.2">
      <c r="A11" s="19" t="s">
        <v>61</v>
      </c>
      <c r="B11" s="24">
        <v>-396</v>
      </c>
      <c r="C11" s="25"/>
      <c r="D11" s="26">
        <v>-396</v>
      </c>
      <c r="E11" s="25"/>
      <c r="F11" s="26">
        <v>0</v>
      </c>
      <c r="G11" s="25"/>
      <c r="H11" s="26">
        <v>0</v>
      </c>
      <c r="I11" s="25"/>
      <c r="J11" s="26">
        <v>0</v>
      </c>
    </row>
    <row r="12" spans="1:10" x14ac:dyDescent="0.2">
      <c r="A12" s="19" t="s">
        <v>62</v>
      </c>
      <c r="B12" s="24">
        <v>0</v>
      </c>
      <c r="C12" s="25"/>
      <c r="D12" s="26">
        <v>0</v>
      </c>
      <c r="E12" s="25"/>
      <c r="F12" s="26">
        <v>0</v>
      </c>
      <c r="G12" s="25"/>
      <c r="H12" s="26">
        <v>0</v>
      </c>
      <c r="I12" s="25"/>
      <c r="J12" s="26">
        <v>0</v>
      </c>
    </row>
    <row r="13" spans="1:10" x14ac:dyDescent="0.2">
      <c r="A13" s="19" t="s">
        <v>63</v>
      </c>
      <c r="B13" s="24">
        <v>0</v>
      </c>
      <c r="C13" s="25"/>
      <c r="D13" s="26">
        <v>0</v>
      </c>
      <c r="E13" s="25"/>
      <c r="F13" s="26">
        <v>0</v>
      </c>
      <c r="G13" s="25"/>
      <c r="H13" s="26">
        <v>0</v>
      </c>
      <c r="I13" s="25"/>
      <c r="J13" s="26">
        <v>0</v>
      </c>
    </row>
    <row r="14" spans="1:10" x14ac:dyDescent="0.2">
      <c r="A14" s="19" t="s">
        <v>64</v>
      </c>
      <c r="B14" s="24">
        <f>SUM(D14:J14)</f>
        <v>-41</v>
      </c>
      <c r="C14" s="25"/>
      <c r="D14" s="26">
        <v>8</v>
      </c>
      <c r="E14" s="25"/>
      <c r="F14" s="26">
        <v>0</v>
      </c>
      <c r="G14" s="25"/>
      <c r="H14" s="26">
        <v>-35</v>
      </c>
      <c r="I14" s="25"/>
      <c r="J14" s="26">
        <v>-14</v>
      </c>
    </row>
    <row r="15" spans="1:10" x14ac:dyDescent="0.2">
      <c r="A15" s="27"/>
      <c r="B15" s="28"/>
      <c r="C15" s="29"/>
      <c r="D15" s="30"/>
      <c r="E15" s="29"/>
      <c r="F15" s="28"/>
      <c r="G15" s="29"/>
      <c r="H15" s="28"/>
      <c r="I15" s="29"/>
      <c r="J15" s="30"/>
    </row>
    <row r="16" spans="1:10" x14ac:dyDescent="0.2">
      <c r="A16" s="7" t="s">
        <v>65</v>
      </c>
      <c r="B16" s="31"/>
      <c r="C16" s="31"/>
      <c r="D16" s="31"/>
      <c r="E16" s="31"/>
      <c r="F16" s="31"/>
      <c r="G16" s="31"/>
      <c r="H16" s="31"/>
      <c r="I16" s="31"/>
      <c r="J16" s="31"/>
    </row>
    <row r="17" spans="1:10" x14ac:dyDescent="0.2">
      <c r="A17" s="19" t="s">
        <v>59</v>
      </c>
      <c r="B17" s="24">
        <v>0</v>
      </c>
      <c r="C17" s="25"/>
      <c r="D17" s="26">
        <v>0</v>
      </c>
      <c r="E17" s="25"/>
      <c r="F17" s="26">
        <v>0</v>
      </c>
      <c r="G17" s="25"/>
      <c r="H17" s="26">
        <v>0</v>
      </c>
      <c r="I17" s="25"/>
      <c r="J17" s="26">
        <v>0</v>
      </c>
    </row>
    <row r="18" spans="1:10" x14ac:dyDescent="0.2">
      <c r="A18" s="19" t="s">
        <v>60</v>
      </c>
      <c r="B18" s="24">
        <v>-12</v>
      </c>
      <c r="C18" s="25"/>
      <c r="D18" s="26">
        <v>0</v>
      </c>
      <c r="E18" s="25"/>
      <c r="F18" s="26">
        <v>0</v>
      </c>
      <c r="G18" s="25"/>
      <c r="H18" s="26">
        <v>-12</v>
      </c>
      <c r="I18" s="25"/>
      <c r="J18" s="26">
        <v>0</v>
      </c>
    </row>
    <row r="19" spans="1:10" x14ac:dyDescent="0.2">
      <c r="A19" s="19" t="s">
        <v>61</v>
      </c>
      <c r="B19" s="24">
        <v>-252</v>
      </c>
      <c r="C19" s="25"/>
      <c r="D19" s="26">
        <v>-252</v>
      </c>
      <c r="E19" s="25"/>
      <c r="F19" s="26">
        <v>0</v>
      </c>
      <c r="G19" s="25"/>
      <c r="H19" s="26">
        <v>0</v>
      </c>
      <c r="I19" s="25"/>
      <c r="J19" s="26">
        <v>0</v>
      </c>
    </row>
    <row r="20" spans="1:10" x14ac:dyDescent="0.2">
      <c r="A20" s="19" t="s">
        <v>62</v>
      </c>
      <c r="B20" s="24">
        <v>0</v>
      </c>
      <c r="C20" s="25"/>
      <c r="D20" s="26">
        <v>0</v>
      </c>
      <c r="E20" s="25"/>
      <c r="F20" s="26">
        <v>0</v>
      </c>
      <c r="G20" s="25"/>
      <c r="H20" s="26">
        <v>0</v>
      </c>
      <c r="I20" s="25"/>
      <c r="J20" s="26">
        <v>0</v>
      </c>
    </row>
    <row r="21" spans="1:10" x14ac:dyDescent="0.2">
      <c r="A21" s="19" t="s">
        <v>63</v>
      </c>
      <c r="B21" s="24">
        <v>0</v>
      </c>
      <c r="C21" s="25"/>
      <c r="D21" s="26">
        <v>0</v>
      </c>
      <c r="E21" s="25"/>
      <c r="F21" s="26">
        <v>0</v>
      </c>
      <c r="G21" s="25"/>
      <c r="H21" s="26">
        <v>0</v>
      </c>
      <c r="I21" s="25"/>
      <c r="J21" s="26">
        <v>0</v>
      </c>
    </row>
    <row r="22" spans="1:10" x14ac:dyDescent="0.2">
      <c r="A22" s="19" t="s">
        <v>64</v>
      </c>
      <c r="B22" s="24">
        <f>SUM(D22:J22)</f>
        <v>-27</v>
      </c>
      <c r="C22" s="25"/>
      <c r="D22" s="26">
        <v>4</v>
      </c>
      <c r="E22" s="25"/>
      <c r="F22" s="26">
        <v>0</v>
      </c>
      <c r="G22" s="25"/>
      <c r="H22" s="26">
        <v>-22</v>
      </c>
      <c r="I22" s="25"/>
      <c r="J22" s="26">
        <v>-9</v>
      </c>
    </row>
    <row r="23" spans="1:10" x14ac:dyDescent="0.2">
      <c r="A23" s="19"/>
      <c r="B23" s="32"/>
      <c r="C23" s="32"/>
      <c r="D23" s="32"/>
      <c r="E23" s="32"/>
      <c r="F23" s="32"/>
      <c r="G23" s="32"/>
      <c r="H23" s="32"/>
      <c r="I23" s="32"/>
      <c r="J23" s="32"/>
    </row>
    <row r="24" spans="1:10" x14ac:dyDescent="0.2">
      <c r="A24" s="7" t="s">
        <v>66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x14ac:dyDescent="0.2">
      <c r="A25" s="19" t="s">
        <v>59</v>
      </c>
      <c r="B25" s="33">
        <f>SUM(C25:J25)</f>
        <v>0</v>
      </c>
      <c r="C25" s="34"/>
      <c r="D25" s="35">
        <v>0</v>
      </c>
      <c r="E25" s="34"/>
      <c r="F25" s="35">
        <v>0</v>
      </c>
      <c r="G25" s="34"/>
      <c r="H25" s="35">
        <v>0</v>
      </c>
      <c r="I25" s="34"/>
      <c r="J25" s="35">
        <v>0</v>
      </c>
    </row>
    <row r="26" spans="1:10" x14ac:dyDescent="0.2">
      <c r="A26" s="19" t="s">
        <v>60</v>
      </c>
      <c r="B26" s="33">
        <v>-7.0000000000000007E-2</v>
      </c>
      <c r="C26" s="34"/>
      <c r="D26" s="35">
        <v>0</v>
      </c>
      <c r="E26" s="34"/>
      <c r="F26" s="35">
        <v>0</v>
      </c>
      <c r="G26" s="34"/>
      <c r="H26" s="35">
        <v>-7.0000000000000007E-2</v>
      </c>
      <c r="I26" s="34"/>
      <c r="J26" s="35">
        <v>0</v>
      </c>
    </row>
    <row r="27" spans="1:10" x14ac:dyDescent="0.2">
      <c r="A27" s="19" t="s">
        <v>61</v>
      </c>
      <c r="B27" s="33">
        <v>-1.5</v>
      </c>
      <c r="C27" s="34"/>
      <c r="D27" s="35">
        <v>-1.5</v>
      </c>
      <c r="E27" s="34"/>
      <c r="F27" s="35">
        <v>0</v>
      </c>
      <c r="G27" s="34"/>
      <c r="H27" s="35">
        <v>0</v>
      </c>
      <c r="I27" s="34"/>
      <c r="J27" s="35">
        <v>0</v>
      </c>
    </row>
    <row r="28" spans="1:10" x14ac:dyDescent="0.2">
      <c r="A28" s="19" t="s">
        <v>62</v>
      </c>
      <c r="B28" s="33">
        <f>SUM(C28:J28)</f>
        <v>0</v>
      </c>
      <c r="C28" s="34"/>
      <c r="D28" s="35">
        <v>0</v>
      </c>
      <c r="E28" s="34"/>
      <c r="F28" s="35">
        <v>0</v>
      </c>
      <c r="G28" s="34"/>
      <c r="H28" s="35">
        <v>0</v>
      </c>
      <c r="I28" s="34"/>
      <c r="J28" s="35">
        <v>0</v>
      </c>
    </row>
    <row r="29" spans="1:10" x14ac:dyDescent="0.2">
      <c r="A29" s="19" t="s">
        <v>63</v>
      </c>
      <c r="B29" s="33">
        <f>SUM(C29:J29)</f>
        <v>0</v>
      </c>
      <c r="C29" s="34"/>
      <c r="D29" s="35">
        <v>0</v>
      </c>
      <c r="E29" s="34"/>
      <c r="F29" s="35">
        <v>0</v>
      </c>
      <c r="G29" s="34"/>
      <c r="H29" s="35">
        <v>0</v>
      </c>
      <c r="I29" s="34"/>
      <c r="J29" s="35">
        <v>0</v>
      </c>
    </row>
    <row r="30" spans="1:10" x14ac:dyDescent="0.2">
      <c r="A30" s="19" t="s">
        <v>64</v>
      </c>
      <c r="B30" s="33">
        <f>SUM(D30:J30)</f>
        <v>-0.16</v>
      </c>
      <c r="C30" s="34"/>
      <c r="D30" s="35">
        <v>0.03</v>
      </c>
      <c r="E30" s="34"/>
      <c r="F30" s="35">
        <v>0</v>
      </c>
      <c r="G30" s="34"/>
      <c r="H30" s="35">
        <v>-0.13</v>
      </c>
      <c r="I30" s="34"/>
      <c r="J30" s="35">
        <v>-0.06</v>
      </c>
    </row>
    <row r="31" spans="1:10" x14ac:dyDescent="0.2">
      <c r="A31" s="19"/>
      <c r="B31" s="36"/>
      <c r="C31" s="36"/>
      <c r="D31" s="36"/>
      <c r="E31" s="36"/>
      <c r="F31" s="36"/>
      <c r="G31" s="36"/>
      <c r="H31" s="36"/>
      <c r="I31" s="36"/>
      <c r="J31" s="36"/>
    </row>
    <row r="32" spans="1:10" x14ac:dyDescent="0.2">
      <c r="A32" s="7" t="s">
        <v>67</v>
      </c>
      <c r="B32" s="36"/>
      <c r="C32" s="36"/>
      <c r="D32" s="36"/>
      <c r="E32" s="36"/>
      <c r="F32" s="36"/>
      <c r="G32" s="36"/>
      <c r="H32" s="36"/>
      <c r="I32" s="36"/>
      <c r="J32" s="36"/>
    </row>
    <row r="33" spans="1:10" x14ac:dyDescent="0.2">
      <c r="A33" s="19" t="s">
        <v>59</v>
      </c>
      <c r="B33" s="33">
        <f>SUM(C33:J33)</f>
        <v>0</v>
      </c>
      <c r="C33" s="34"/>
      <c r="D33" s="35">
        <v>0</v>
      </c>
      <c r="E33" s="34"/>
      <c r="F33" s="35">
        <v>0</v>
      </c>
      <c r="G33" s="34"/>
      <c r="H33" s="35">
        <v>0</v>
      </c>
      <c r="I33" s="34"/>
      <c r="J33" s="35">
        <v>0</v>
      </c>
    </row>
    <row r="34" spans="1:10" x14ac:dyDescent="0.2">
      <c r="A34" s="19" t="s">
        <v>60</v>
      </c>
      <c r="B34" s="33">
        <v>-0.05</v>
      </c>
      <c r="C34" s="34"/>
      <c r="D34" s="35">
        <v>0</v>
      </c>
      <c r="E34" s="34"/>
      <c r="F34" s="35">
        <v>0</v>
      </c>
      <c r="G34" s="34"/>
      <c r="H34" s="35">
        <v>-0.05</v>
      </c>
      <c r="I34" s="34"/>
      <c r="J34" s="35">
        <v>0</v>
      </c>
    </row>
    <row r="35" spans="1:10" x14ac:dyDescent="0.2">
      <c r="A35" s="19" t="s">
        <v>61</v>
      </c>
      <c r="B35" s="33">
        <v>-0.96</v>
      </c>
      <c r="C35" s="34"/>
      <c r="D35" s="35">
        <v>-0.96</v>
      </c>
      <c r="E35" s="34"/>
      <c r="F35" s="35">
        <v>0</v>
      </c>
      <c r="G35" s="34"/>
      <c r="H35" s="35">
        <v>0</v>
      </c>
      <c r="I35" s="34"/>
      <c r="J35" s="35">
        <v>0</v>
      </c>
    </row>
    <row r="36" spans="1:10" x14ac:dyDescent="0.2">
      <c r="A36" s="19" t="s">
        <v>62</v>
      </c>
      <c r="B36" s="33">
        <f>SUM(C36:J36)</f>
        <v>0</v>
      </c>
      <c r="C36" s="34"/>
      <c r="D36" s="35">
        <v>0</v>
      </c>
      <c r="E36" s="34"/>
      <c r="F36" s="35">
        <v>0</v>
      </c>
      <c r="G36" s="34"/>
      <c r="H36" s="35">
        <v>0</v>
      </c>
      <c r="I36" s="34"/>
      <c r="J36" s="35">
        <v>0</v>
      </c>
    </row>
    <row r="37" spans="1:10" x14ac:dyDescent="0.2">
      <c r="A37" s="19" t="s">
        <v>63</v>
      </c>
      <c r="B37" s="33">
        <f>SUM(C37:J37)</f>
        <v>0</v>
      </c>
      <c r="C37" s="34"/>
      <c r="D37" s="35">
        <v>0</v>
      </c>
      <c r="E37" s="34"/>
      <c r="F37" s="35">
        <v>0</v>
      </c>
      <c r="G37" s="34"/>
      <c r="H37" s="35">
        <v>0</v>
      </c>
      <c r="I37" s="34"/>
      <c r="J37" s="35">
        <v>0</v>
      </c>
    </row>
    <row r="38" spans="1:10" x14ac:dyDescent="0.2">
      <c r="A38" s="19" t="s">
        <v>64</v>
      </c>
      <c r="B38" s="33">
        <f>SUM(D38:J38)</f>
        <v>-0.1</v>
      </c>
      <c r="C38" s="34"/>
      <c r="D38" s="35">
        <v>0.02</v>
      </c>
      <c r="E38" s="34"/>
      <c r="F38" s="35">
        <v>0</v>
      </c>
      <c r="G38" s="34"/>
      <c r="H38" s="35">
        <v>-0.08</v>
      </c>
      <c r="I38" s="34"/>
      <c r="J38" s="35">
        <v>-0.04</v>
      </c>
    </row>
    <row r="39" spans="1:10" x14ac:dyDescent="0.2">
      <c r="A39" s="27"/>
      <c r="B39" s="34"/>
      <c r="C39" s="34"/>
      <c r="D39" s="34"/>
      <c r="E39" s="34"/>
      <c r="F39" s="34"/>
      <c r="G39" s="34"/>
      <c r="H39" s="34"/>
      <c r="I39" s="34"/>
      <c r="J39" s="34"/>
    </row>
    <row r="40" spans="1:10" x14ac:dyDescent="0.2">
      <c r="A40" s="27"/>
      <c r="B40" s="34"/>
      <c r="C40" s="34"/>
      <c r="D40" s="34"/>
      <c r="E40" s="34"/>
      <c r="F40" s="34"/>
      <c r="G40" s="34"/>
      <c r="H40" s="34"/>
      <c r="I40" s="34"/>
      <c r="J40" s="34"/>
    </row>
    <row r="41" spans="1:10" x14ac:dyDescent="0.2">
      <c r="A41" s="27"/>
      <c r="B41" s="34"/>
      <c r="C41" s="34"/>
      <c r="D41" s="34"/>
      <c r="E41" s="34"/>
      <c r="F41" s="34"/>
      <c r="G41" s="34"/>
      <c r="H41" s="34"/>
      <c r="I41" s="34"/>
      <c r="J41" s="34"/>
    </row>
    <row r="42" spans="1:10" x14ac:dyDescent="0.2">
      <c r="A42" s="13" t="s">
        <v>68</v>
      </c>
      <c r="B42" s="14" t="s">
        <v>69</v>
      </c>
      <c r="C42" s="27"/>
      <c r="D42" s="16" t="str">
        <f>B42</f>
        <v>FY02</v>
      </c>
      <c r="E42" s="15"/>
      <c r="F42" s="16" t="str">
        <f>B42</f>
        <v>FY02</v>
      </c>
      <c r="G42" s="15"/>
      <c r="H42" s="16" t="str">
        <f>B42</f>
        <v>FY02</v>
      </c>
      <c r="I42" s="15"/>
      <c r="J42" s="16" t="str">
        <f>B42</f>
        <v>FY02</v>
      </c>
    </row>
    <row r="43" spans="1:10" x14ac:dyDescent="0.2">
      <c r="A43" s="19"/>
      <c r="B43" s="17" t="s">
        <v>70</v>
      </c>
      <c r="C43" s="15"/>
      <c r="D43" s="18" t="s">
        <v>49</v>
      </c>
      <c r="E43" s="15"/>
      <c r="F43" s="18" t="s">
        <v>50</v>
      </c>
      <c r="G43" s="15"/>
      <c r="H43" s="18" t="s">
        <v>51</v>
      </c>
      <c r="I43" s="15"/>
      <c r="J43" s="18" t="s">
        <v>52</v>
      </c>
    </row>
    <row r="44" spans="1:10" x14ac:dyDescent="0.2">
      <c r="A44" s="19"/>
      <c r="B44" s="37" t="s">
        <v>71</v>
      </c>
      <c r="C44" s="19"/>
      <c r="D44" s="21" t="s">
        <v>72</v>
      </c>
      <c r="E44" s="19"/>
      <c r="F44" s="22" t="s">
        <v>73</v>
      </c>
      <c r="G44" s="19"/>
      <c r="H44" s="22" t="s">
        <v>74</v>
      </c>
      <c r="I44" s="19"/>
      <c r="J44" s="21" t="s">
        <v>75</v>
      </c>
    </row>
    <row r="45" spans="1:10" x14ac:dyDescent="0.2">
      <c r="A45" s="7" t="s">
        <v>58</v>
      </c>
      <c r="B45" s="23"/>
      <c r="C45" s="19"/>
      <c r="D45" s="23"/>
      <c r="E45" s="23"/>
      <c r="F45" s="23"/>
      <c r="G45" s="23"/>
      <c r="H45" s="23"/>
      <c r="I45" s="23"/>
      <c r="J45" s="23"/>
    </row>
    <row r="46" spans="1:10" x14ac:dyDescent="0.2">
      <c r="A46" s="19" t="s">
        <v>59</v>
      </c>
      <c r="B46" s="24">
        <v>-1984</v>
      </c>
      <c r="C46" s="31"/>
      <c r="D46" s="26">
        <v>0</v>
      </c>
      <c r="E46" s="25"/>
      <c r="F46" s="26">
        <v>0</v>
      </c>
      <c r="G46" s="25"/>
      <c r="H46" s="26">
        <v>-1984</v>
      </c>
      <c r="I46" s="25"/>
      <c r="J46" s="26">
        <v>0</v>
      </c>
    </row>
    <row r="47" spans="1:10" x14ac:dyDescent="0.2">
      <c r="A47" s="19" t="s">
        <v>60</v>
      </c>
      <c r="B47" s="24">
        <v>0</v>
      </c>
      <c r="C47" s="31"/>
      <c r="D47" s="26">
        <v>0</v>
      </c>
      <c r="E47" s="25"/>
      <c r="F47" s="26">
        <v>0</v>
      </c>
      <c r="G47" s="25"/>
      <c r="H47" s="26">
        <v>0</v>
      </c>
      <c r="I47" s="25"/>
      <c r="J47" s="26">
        <v>0</v>
      </c>
    </row>
    <row r="48" spans="1:10" x14ac:dyDescent="0.2">
      <c r="A48" s="19" t="s">
        <v>62</v>
      </c>
      <c r="B48" s="24">
        <v>-154</v>
      </c>
      <c r="C48" s="31"/>
      <c r="D48" s="26">
        <v>-154</v>
      </c>
      <c r="E48" s="25"/>
      <c r="F48" s="26">
        <v>0</v>
      </c>
      <c r="G48" s="25"/>
      <c r="H48" s="26">
        <v>0</v>
      </c>
      <c r="I48" s="25"/>
      <c r="J48" s="26">
        <v>0</v>
      </c>
    </row>
    <row r="49" spans="1:10" x14ac:dyDescent="0.2">
      <c r="A49" s="19" t="s">
        <v>63</v>
      </c>
      <c r="B49" s="24">
        <v>32</v>
      </c>
      <c r="C49" s="31"/>
      <c r="D49" s="26">
        <v>32</v>
      </c>
      <c r="E49" s="25"/>
      <c r="F49" s="26">
        <v>0</v>
      </c>
      <c r="G49" s="25"/>
      <c r="H49" s="26">
        <v>0</v>
      </c>
      <c r="I49" s="25"/>
      <c r="J49" s="26">
        <v>0</v>
      </c>
    </row>
    <row r="50" spans="1:10" x14ac:dyDescent="0.2">
      <c r="A50" s="19" t="s">
        <v>64</v>
      </c>
      <c r="B50" s="24">
        <v>-218</v>
      </c>
      <c r="C50" s="31"/>
      <c r="D50" s="26">
        <v>-75</v>
      </c>
      <c r="E50" s="25"/>
      <c r="F50" s="26">
        <v>0</v>
      </c>
      <c r="G50" s="25"/>
      <c r="H50" s="26">
        <v>-132</v>
      </c>
      <c r="I50" s="25"/>
      <c r="J50" s="26">
        <v>-11</v>
      </c>
    </row>
    <row r="51" spans="1:10" x14ac:dyDescent="0.2">
      <c r="A51" s="27"/>
      <c r="B51" s="30"/>
      <c r="C51" s="31"/>
      <c r="D51" s="30"/>
      <c r="E51" s="29"/>
      <c r="F51" s="28"/>
      <c r="G51" s="29"/>
      <c r="H51" s="28"/>
      <c r="I51" s="29"/>
      <c r="J51" s="30"/>
    </row>
    <row r="52" spans="1:10" x14ac:dyDescent="0.2">
      <c r="A52" s="7" t="s">
        <v>65</v>
      </c>
      <c r="B52" s="31"/>
      <c r="C52" s="31"/>
      <c r="D52" s="31"/>
      <c r="E52" s="31"/>
      <c r="F52" s="31"/>
      <c r="G52" s="31"/>
      <c r="H52" s="31"/>
      <c r="I52" s="31"/>
      <c r="J52" s="31"/>
    </row>
    <row r="53" spans="1:10" x14ac:dyDescent="0.2">
      <c r="A53" s="19" t="s">
        <v>59</v>
      </c>
      <c r="B53" s="24">
        <v>-1822</v>
      </c>
      <c r="C53" s="31"/>
      <c r="D53" s="26">
        <v>0</v>
      </c>
      <c r="E53" s="25"/>
      <c r="F53" s="26">
        <v>0</v>
      </c>
      <c r="G53" s="25"/>
      <c r="H53" s="26">
        <v>-1822</v>
      </c>
      <c r="I53" s="25"/>
      <c r="J53" s="26">
        <v>0</v>
      </c>
    </row>
    <row r="54" spans="1:10" x14ac:dyDescent="0.2">
      <c r="A54" s="19" t="s">
        <v>60</v>
      </c>
      <c r="B54" s="24">
        <v>0</v>
      </c>
      <c r="C54" s="31"/>
      <c r="D54" s="26">
        <v>0</v>
      </c>
      <c r="E54" s="25"/>
      <c r="F54" s="26">
        <v>0</v>
      </c>
      <c r="G54" s="25"/>
      <c r="H54" s="26">
        <v>0</v>
      </c>
      <c r="I54" s="25"/>
      <c r="J54" s="26">
        <v>0</v>
      </c>
    </row>
    <row r="55" spans="1:10" x14ac:dyDescent="0.2">
      <c r="A55" s="19" t="s">
        <v>62</v>
      </c>
      <c r="B55" s="24">
        <v>-100</v>
      </c>
      <c r="C55" s="31"/>
      <c r="D55" s="26">
        <v>-100</v>
      </c>
      <c r="E55" s="25"/>
      <c r="F55" s="26">
        <v>0</v>
      </c>
      <c r="G55" s="25"/>
      <c r="H55" s="26">
        <v>0</v>
      </c>
      <c r="I55" s="25"/>
      <c r="J55" s="26">
        <v>0</v>
      </c>
    </row>
    <row r="56" spans="1:10" x14ac:dyDescent="0.2">
      <c r="A56" s="19" t="s">
        <v>63</v>
      </c>
      <c r="B56" s="24">
        <v>21</v>
      </c>
      <c r="C56" s="31"/>
      <c r="D56" s="26">
        <v>21</v>
      </c>
      <c r="E56" s="25"/>
      <c r="F56" s="26">
        <v>0</v>
      </c>
      <c r="G56" s="25"/>
      <c r="H56" s="26">
        <v>0</v>
      </c>
      <c r="I56" s="25"/>
      <c r="J56" s="26">
        <v>0</v>
      </c>
    </row>
    <row r="57" spans="1:10" x14ac:dyDescent="0.2">
      <c r="A57" s="19" t="s">
        <v>64</v>
      </c>
      <c r="B57" s="24">
        <v>-142</v>
      </c>
      <c r="C57" s="31"/>
      <c r="D57" s="26">
        <v>-49</v>
      </c>
      <c r="E57" s="25"/>
      <c r="F57" s="26">
        <v>0</v>
      </c>
      <c r="G57" s="25"/>
      <c r="H57" s="26">
        <v>-86</v>
      </c>
      <c r="I57" s="25" t="s">
        <v>76</v>
      </c>
      <c r="J57" s="26">
        <v>-7</v>
      </c>
    </row>
    <row r="58" spans="1:10" x14ac:dyDescent="0.2">
      <c r="A58" s="19"/>
      <c r="B58" s="32"/>
      <c r="C58" s="19"/>
      <c r="D58" s="32"/>
      <c r="E58" s="32"/>
      <c r="F58" s="32"/>
      <c r="G58" s="32"/>
      <c r="H58" s="32"/>
      <c r="I58" s="32" t="s">
        <v>76</v>
      </c>
      <c r="J58" s="32"/>
    </row>
    <row r="59" spans="1:10" x14ac:dyDescent="0.2">
      <c r="A59" s="7" t="s">
        <v>66</v>
      </c>
      <c r="B59" s="19"/>
      <c r="C59" s="19"/>
      <c r="D59" s="19"/>
      <c r="E59" s="19"/>
      <c r="F59" s="19"/>
      <c r="G59" s="19"/>
      <c r="H59" s="19"/>
      <c r="I59" s="19"/>
      <c r="J59" s="19"/>
    </row>
    <row r="60" spans="1:10" x14ac:dyDescent="0.2">
      <c r="A60" s="19" t="s">
        <v>59</v>
      </c>
      <c r="B60" s="33">
        <v>-7.53</v>
      </c>
      <c r="C60" s="36"/>
      <c r="D60" s="35">
        <v>0</v>
      </c>
      <c r="E60" s="34"/>
      <c r="F60" s="35">
        <v>0</v>
      </c>
      <c r="G60" s="34"/>
      <c r="H60" s="35">
        <v>-7.53</v>
      </c>
      <c r="I60" s="34"/>
      <c r="J60" s="35">
        <v>0</v>
      </c>
    </row>
    <row r="61" spans="1:10" x14ac:dyDescent="0.2">
      <c r="A61" s="19" t="s">
        <v>60</v>
      </c>
      <c r="B61" s="33">
        <v>0</v>
      </c>
      <c r="C61" s="36"/>
      <c r="D61" s="35">
        <v>0</v>
      </c>
      <c r="E61" s="34"/>
      <c r="F61" s="35">
        <v>0</v>
      </c>
      <c r="G61" s="34"/>
      <c r="H61" s="35">
        <v>0</v>
      </c>
      <c r="I61" s="34"/>
      <c r="J61" s="35">
        <v>0</v>
      </c>
    </row>
    <row r="62" spans="1:10" x14ac:dyDescent="0.2">
      <c r="A62" s="19" t="s">
        <v>62</v>
      </c>
      <c r="B62" s="33">
        <v>-0.59</v>
      </c>
      <c r="C62" s="36"/>
      <c r="D62" s="35">
        <v>-0.59</v>
      </c>
      <c r="E62" s="34"/>
      <c r="F62" s="35">
        <v>0</v>
      </c>
      <c r="G62" s="34"/>
      <c r="H62" s="35">
        <v>0</v>
      </c>
      <c r="I62" s="34"/>
      <c r="J62" s="35">
        <v>0</v>
      </c>
    </row>
    <row r="63" spans="1:10" x14ac:dyDescent="0.2">
      <c r="A63" s="19" t="s">
        <v>63</v>
      </c>
      <c r="B63" s="33">
        <v>0.12</v>
      </c>
      <c r="C63" s="36"/>
      <c r="D63" s="35">
        <v>0.12</v>
      </c>
      <c r="E63" s="34"/>
      <c r="F63" s="35">
        <v>0</v>
      </c>
      <c r="G63" s="34"/>
      <c r="H63" s="35">
        <v>0</v>
      </c>
      <c r="I63" s="34"/>
      <c r="J63" s="35">
        <v>0</v>
      </c>
    </row>
    <row r="64" spans="1:10" x14ac:dyDescent="0.2">
      <c r="A64" s="19" t="s">
        <v>64</v>
      </c>
      <c r="B64" s="33">
        <v>-0.83</v>
      </c>
      <c r="C64" s="36"/>
      <c r="D64" s="35">
        <v>-0.28999999999999998</v>
      </c>
      <c r="E64" s="34"/>
      <c r="F64" s="35">
        <v>0</v>
      </c>
      <c r="G64" s="34"/>
      <c r="H64" s="35">
        <v>-0.5</v>
      </c>
      <c r="I64" s="34"/>
      <c r="J64" s="35">
        <v>-0.04</v>
      </c>
    </row>
    <row r="65" spans="1:10" x14ac:dyDescent="0.2">
      <c r="A65" s="19"/>
      <c r="B65" s="36"/>
      <c r="C65" s="36"/>
      <c r="D65" s="36"/>
      <c r="E65" s="36"/>
      <c r="F65" s="36"/>
      <c r="G65" s="36"/>
      <c r="H65" s="36"/>
      <c r="I65" s="36"/>
      <c r="J65" s="36"/>
    </row>
    <row r="66" spans="1:10" x14ac:dyDescent="0.2">
      <c r="A66" s="7" t="s">
        <v>67</v>
      </c>
      <c r="B66" s="36"/>
      <c r="C66" s="36"/>
      <c r="D66" s="36"/>
      <c r="E66" s="36"/>
      <c r="F66" s="36"/>
      <c r="G66" s="36"/>
      <c r="H66" s="36"/>
      <c r="I66" s="36"/>
      <c r="J66" s="36"/>
    </row>
    <row r="67" spans="1:10" x14ac:dyDescent="0.2">
      <c r="A67" s="19" t="s">
        <v>59</v>
      </c>
      <c r="B67" s="33">
        <v>-6.92</v>
      </c>
      <c r="C67" s="36"/>
      <c r="D67" s="35">
        <v>0</v>
      </c>
      <c r="E67" s="34"/>
      <c r="F67" s="35">
        <v>0</v>
      </c>
      <c r="G67" s="34"/>
      <c r="H67" s="35">
        <v>-6.92</v>
      </c>
      <c r="I67" s="34"/>
      <c r="J67" s="35">
        <v>0</v>
      </c>
    </row>
    <row r="68" spans="1:10" x14ac:dyDescent="0.2">
      <c r="A68" s="19" t="s">
        <v>60</v>
      </c>
      <c r="B68" s="33">
        <v>0</v>
      </c>
      <c r="C68" s="36"/>
      <c r="D68" s="35">
        <v>0</v>
      </c>
      <c r="E68" s="34"/>
      <c r="F68" s="35">
        <v>0</v>
      </c>
      <c r="G68" s="34"/>
      <c r="H68" s="35">
        <v>0</v>
      </c>
      <c r="I68" s="34"/>
      <c r="J68" s="35">
        <v>0</v>
      </c>
    </row>
    <row r="69" spans="1:10" x14ac:dyDescent="0.2">
      <c r="A69" s="19" t="s">
        <v>62</v>
      </c>
      <c r="B69" s="33">
        <v>-0.38</v>
      </c>
      <c r="C69" s="36"/>
      <c r="D69" s="35">
        <v>-0.38</v>
      </c>
      <c r="E69" s="34"/>
      <c r="F69" s="35">
        <v>0</v>
      </c>
      <c r="G69" s="34"/>
      <c r="H69" s="35">
        <v>0</v>
      </c>
      <c r="I69" s="34"/>
      <c r="J69" s="35">
        <v>0</v>
      </c>
    </row>
    <row r="70" spans="1:10" x14ac:dyDescent="0.2">
      <c r="A70" s="19" t="s">
        <v>63</v>
      </c>
      <c r="B70" s="33">
        <v>0.08</v>
      </c>
      <c r="C70" s="36"/>
      <c r="D70" s="35">
        <v>0.08</v>
      </c>
      <c r="E70" s="34"/>
      <c r="F70" s="35">
        <v>0</v>
      </c>
      <c r="G70" s="34"/>
      <c r="H70" s="35">
        <v>0</v>
      </c>
      <c r="I70" s="34"/>
      <c r="J70" s="35">
        <v>0</v>
      </c>
    </row>
    <row r="71" spans="1:10" x14ac:dyDescent="0.2">
      <c r="A71" s="19" t="s">
        <v>64</v>
      </c>
      <c r="B71" s="33">
        <v>-0.54</v>
      </c>
      <c r="C71" s="36"/>
      <c r="D71" s="35">
        <v>-0.19</v>
      </c>
      <c r="E71" s="34"/>
      <c r="F71" s="35">
        <v>0</v>
      </c>
      <c r="G71" s="34"/>
      <c r="H71" s="35">
        <v>-0.33</v>
      </c>
      <c r="I71" s="34"/>
      <c r="J71" s="35">
        <v>-0.02</v>
      </c>
    </row>
    <row r="72" spans="1:10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spans="1:10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spans="1:10" x14ac:dyDescent="0.2">
      <c r="A74" s="13" t="s">
        <v>77</v>
      </c>
      <c r="B74" s="14" t="s">
        <v>78</v>
      </c>
      <c r="C74" s="19"/>
      <c r="D74" s="16" t="str">
        <f>B74</f>
        <v>FY01</v>
      </c>
      <c r="E74" s="15"/>
      <c r="F74" s="16" t="str">
        <f>B74</f>
        <v>FY01</v>
      </c>
      <c r="G74" s="15"/>
      <c r="H74" s="16" t="str">
        <f>B74</f>
        <v>FY01</v>
      </c>
      <c r="I74" s="15"/>
      <c r="J74" s="16" t="str">
        <f>B74</f>
        <v>FY01</v>
      </c>
    </row>
    <row r="75" spans="1:10" x14ac:dyDescent="0.2">
      <c r="A75" s="19"/>
      <c r="B75" s="17" t="s">
        <v>70</v>
      </c>
      <c r="C75" s="19"/>
      <c r="D75" s="18" t="s">
        <v>49</v>
      </c>
      <c r="E75" s="15"/>
      <c r="F75" s="18" t="s">
        <v>50</v>
      </c>
      <c r="G75" s="15"/>
      <c r="H75" s="18" t="s">
        <v>51</v>
      </c>
      <c r="I75" s="15"/>
      <c r="J75" s="18" t="s">
        <v>52</v>
      </c>
    </row>
    <row r="76" spans="1:10" x14ac:dyDescent="0.2">
      <c r="A76" s="19"/>
      <c r="B76" s="37" t="s">
        <v>79</v>
      </c>
      <c r="C76" s="19"/>
      <c r="D76" s="21" t="s">
        <v>80</v>
      </c>
      <c r="E76" s="19"/>
      <c r="F76" s="22" t="s">
        <v>81</v>
      </c>
      <c r="G76" s="19"/>
      <c r="H76" s="22" t="s">
        <v>82</v>
      </c>
      <c r="I76" s="19"/>
      <c r="J76" s="21" t="s">
        <v>83</v>
      </c>
    </row>
    <row r="77" spans="1:10" x14ac:dyDescent="0.2">
      <c r="A77" s="7" t="s">
        <v>58</v>
      </c>
      <c r="B77" s="23"/>
      <c r="C77" s="19"/>
      <c r="D77" s="23"/>
      <c r="E77" s="23"/>
      <c r="F77" s="23"/>
      <c r="G77" s="23"/>
      <c r="H77" s="23"/>
      <c r="I77" s="23"/>
      <c r="J77" s="23"/>
    </row>
    <row r="78" spans="1:10" x14ac:dyDescent="0.2">
      <c r="A78" s="19" t="s">
        <v>59</v>
      </c>
      <c r="B78" s="24">
        <v>0</v>
      </c>
      <c r="C78" s="31"/>
      <c r="D78" s="26">
        <v>0</v>
      </c>
      <c r="E78" s="25"/>
      <c r="F78" s="26">
        <v>0</v>
      </c>
      <c r="G78" s="25"/>
      <c r="H78" s="26">
        <v>0</v>
      </c>
      <c r="I78" s="25"/>
      <c r="J78" s="26">
        <v>0</v>
      </c>
    </row>
    <row r="79" spans="1:10" x14ac:dyDescent="0.2">
      <c r="A79" s="19" t="s">
        <v>60</v>
      </c>
      <c r="B79" s="24">
        <v>0</v>
      </c>
      <c r="C79" s="31"/>
      <c r="D79" s="26">
        <v>0</v>
      </c>
      <c r="E79" s="25"/>
      <c r="F79" s="26">
        <v>0</v>
      </c>
      <c r="G79" s="25"/>
      <c r="H79" s="26">
        <v>0</v>
      </c>
      <c r="I79" s="25"/>
      <c r="J79" s="26">
        <v>0</v>
      </c>
    </row>
    <row r="80" spans="1:10" x14ac:dyDescent="0.2">
      <c r="A80" s="19" t="s">
        <v>62</v>
      </c>
      <c r="B80" s="24">
        <v>0</v>
      </c>
      <c r="C80" s="31"/>
      <c r="D80" s="26">
        <v>0</v>
      </c>
      <c r="E80" s="25"/>
      <c r="F80" s="26">
        <v>0</v>
      </c>
      <c r="G80" s="25"/>
      <c r="H80" s="26">
        <v>0</v>
      </c>
      <c r="I80" s="25"/>
      <c r="J80" s="26">
        <v>0</v>
      </c>
    </row>
    <row r="81" spans="1:10" x14ac:dyDescent="0.2">
      <c r="A81" s="19" t="s">
        <v>63</v>
      </c>
      <c r="B81" s="24">
        <v>0</v>
      </c>
      <c r="C81" s="31"/>
      <c r="D81" s="26">
        <v>0</v>
      </c>
      <c r="E81" s="25"/>
      <c r="F81" s="26">
        <v>0</v>
      </c>
      <c r="G81" s="25"/>
      <c r="H81" s="26">
        <v>0</v>
      </c>
      <c r="I81" s="25"/>
      <c r="J81" s="26">
        <v>0</v>
      </c>
    </row>
    <row r="82" spans="1:10" x14ac:dyDescent="0.2">
      <c r="A82" s="19" t="s">
        <v>64</v>
      </c>
      <c r="B82" s="24">
        <v>-170</v>
      </c>
      <c r="C82" s="31"/>
      <c r="D82" s="26">
        <v>-48</v>
      </c>
      <c r="E82" s="25"/>
      <c r="F82" s="26">
        <v>-22</v>
      </c>
      <c r="G82" s="25"/>
      <c r="H82" s="26">
        <v>-57</v>
      </c>
      <c r="I82" s="25"/>
      <c r="J82" s="26">
        <v>-43</v>
      </c>
    </row>
    <row r="83" spans="1:10" x14ac:dyDescent="0.2">
      <c r="A83" s="27"/>
      <c r="B83" s="30"/>
      <c r="C83" s="31"/>
      <c r="D83" s="30"/>
      <c r="E83" s="29"/>
      <c r="F83" s="28"/>
      <c r="G83" s="29"/>
      <c r="H83" s="28"/>
      <c r="I83" s="29"/>
      <c r="J83" s="30"/>
    </row>
    <row r="84" spans="1:10" x14ac:dyDescent="0.2">
      <c r="A84" s="7" t="s">
        <v>65</v>
      </c>
      <c r="B84" s="31"/>
      <c r="C84" s="31"/>
      <c r="D84" s="31"/>
      <c r="E84" s="31"/>
      <c r="F84" s="31"/>
      <c r="G84" s="31"/>
      <c r="H84" s="31"/>
      <c r="I84" s="31"/>
      <c r="J84" s="31"/>
    </row>
    <row r="85" spans="1:10" x14ac:dyDescent="0.2">
      <c r="A85" s="19" t="s">
        <v>59</v>
      </c>
      <c r="B85" s="24">
        <v>0</v>
      </c>
      <c r="C85" s="31"/>
      <c r="D85" s="26">
        <v>0</v>
      </c>
      <c r="E85" s="25"/>
      <c r="F85" s="26">
        <v>0</v>
      </c>
      <c r="G85" s="25"/>
      <c r="H85" s="26">
        <v>0</v>
      </c>
      <c r="I85" s="25"/>
      <c r="J85" s="26">
        <v>0</v>
      </c>
    </row>
    <row r="86" spans="1:10" x14ac:dyDescent="0.2">
      <c r="A86" s="19" t="s">
        <v>60</v>
      </c>
      <c r="B86" s="24">
        <v>0</v>
      </c>
      <c r="C86" s="31"/>
      <c r="D86" s="26">
        <v>0</v>
      </c>
      <c r="E86" s="25"/>
      <c r="F86" s="26">
        <v>0</v>
      </c>
      <c r="G86" s="25"/>
      <c r="H86" s="26">
        <v>0</v>
      </c>
      <c r="I86" s="25"/>
      <c r="J86" s="26">
        <v>0</v>
      </c>
    </row>
    <row r="87" spans="1:10" x14ac:dyDescent="0.2">
      <c r="A87" s="19" t="s">
        <v>62</v>
      </c>
      <c r="B87" s="24">
        <v>0</v>
      </c>
      <c r="C87" s="31"/>
      <c r="D87" s="26">
        <v>0</v>
      </c>
      <c r="E87" s="25"/>
      <c r="F87" s="26">
        <v>0</v>
      </c>
      <c r="G87" s="25"/>
      <c r="H87" s="26">
        <v>0</v>
      </c>
      <c r="I87" s="25"/>
      <c r="J87" s="26">
        <v>0</v>
      </c>
    </row>
    <row r="88" spans="1:10" x14ac:dyDescent="0.2">
      <c r="A88" s="19" t="s">
        <v>63</v>
      </c>
      <c r="B88" s="24">
        <v>0</v>
      </c>
      <c r="C88" s="31"/>
      <c r="D88" s="26">
        <v>0</v>
      </c>
      <c r="E88" s="25"/>
      <c r="F88" s="26">
        <v>0</v>
      </c>
      <c r="G88" s="25"/>
      <c r="H88" s="26">
        <v>0</v>
      </c>
      <c r="I88" s="25"/>
      <c r="J88" s="26">
        <v>0</v>
      </c>
    </row>
    <row r="89" spans="1:10" x14ac:dyDescent="0.2">
      <c r="A89" s="19" t="s">
        <v>64</v>
      </c>
      <c r="B89" s="24">
        <v>-115</v>
      </c>
      <c r="C89" s="31"/>
      <c r="D89" s="26">
        <v>-30</v>
      </c>
      <c r="E89" s="25"/>
      <c r="F89" s="26">
        <v>-13</v>
      </c>
      <c r="G89" s="25"/>
      <c r="H89" s="26">
        <v>-44</v>
      </c>
      <c r="I89" s="25" t="s">
        <v>76</v>
      </c>
      <c r="J89" s="26">
        <v>-28</v>
      </c>
    </row>
    <row r="90" spans="1:10" x14ac:dyDescent="0.2">
      <c r="A90" s="19"/>
      <c r="B90" s="32"/>
      <c r="C90" s="19"/>
      <c r="D90" s="32"/>
      <c r="E90" s="32"/>
      <c r="F90" s="32"/>
      <c r="G90" s="32"/>
      <c r="H90" s="32"/>
      <c r="I90" s="32" t="s">
        <v>76</v>
      </c>
      <c r="J90" s="32"/>
    </row>
    <row r="91" spans="1:10" x14ac:dyDescent="0.2">
      <c r="A91" s="7" t="s">
        <v>66</v>
      </c>
      <c r="B91" s="19"/>
      <c r="C91" s="19"/>
      <c r="D91" s="19"/>
      <c r="E91" s="19"/>
      <c r="F91" s="19"/>
      <c r="G91" s="19"/>
      <c r="H91" s="19"/>
      <c r="I91" s="19"/>
      <c r="J91" s="19"/>
    </row>
    <row r="92" spans="1:10" x14ac:dyDescent="0.2">
      <c r="A92" s="19" t="s">
        <v>59</v>
      </c>
      <c r="B92" s="33">
        <v>0</v>
      </c>
      <c r="C92" s="36"/>
      <c r="D92" s="35">
        <v>0</v>
      </c>
      <c r="E92" s="34"/>
      <c r="F92" s="35">
        <v>0</v>
      </c>
      <c r="G92" s="34"/>
      <c r="H92" s="35">
        <v>0</v>
      </c>
      <c r="I92" s="34"/>
      <c r="J92" s="35">
        <v>0</v>
      </c>
    </row>
    <row r="93" spans="1:10" x14ac:dyDescent="0.2">
      <c r="A93" s="19" t="s">
        <v>60</v>
      </c>
      <c r="B93" s="33">
        <v>0</v>
      </c>
      <c r="C93" s="36"/>
      <c r="D93" s="35">
        <v>0</v>
      </c>
      <c r="E93" s="34"/>
      <c r="F93" s="35">
        <v>0</v>
      </c>
      <c r="G93" s="34"/>
      <c r="H93" s="35">
        <v>0</v>
      </c>
      <c r="I93" s="34"/>
      <c r="J93" s="35">
        <v>0</v>
      </c>
    </row>
    <row r="94" spans="1:10" x14ac:dyDescent="0.2">
      <c r="A94" s="19" t="s">
        <v>62</v>
      </c>
      <c r="B94" s="33">
        <v>0</v>
      </c>
      <c r="C94" s="36"/>
      <c r="D94" s="35">
        <v>0</v>
      </c>
      <c r="E94" s="34"/>
      <c r="F94" s="35">
        <v>0</v>
      </c>
      <c r="G94" s="34"/>
      <c r="H94" s="35">
        <v>0</v>
      </c>
      <c r="I94" s="34"/>
      <c r="J94" s="35">
        <v>0</v>
      </c>
    </row>
    <row r="95" spans="1:10" x14ac:dyDescent="0.2">
      <c r="A95" s="19" t="s">
        <v>63</v>
      </c>
      <c r="B95" s="33">
        <v>0</v>
      </c>
      <c r="C95" s="36"/>
      <c r="D95" s="35">
        <v>0</v>
      </c>
      <c r="E95" s="34"/>
      <c r="F95" s="35">
        <v>0</v>
      </c>
      <c r="G95" s="34"/>
      <c r="H95" s="35">
        <v>0</v>
      </c>
      <c r="I95" s="34"/>
      <c r="J95" s="35">
        <v>0</v>
      </c>
    </row>
    <row r="96" spans="1:10" x14ac:dyDescent="0.2">
      <c r="A96" s="19" t="s">
        <v>64</v>
      </c>
      <c r="B96" s="33">
        <v>-0.65</v>
      </c>
      <c r="C96" s="36"/>
      <c r="D96" s="35">
        <v>-0.18</v>
      </c>
      <c r="E96" s="34"/>
      <c r="F96" s="35">
        <v>-0.08</v>
      </c>
      <c r="G96" s="34"/>
      <c r="H96" s="35">
        <v>-0.23</v>
      </c>
      <c r="I96" s="34"/>
      <c r="J96" s="35">
        <v>-0.16</v>
      </c>
    </row>
    <row r="97" spans="1:10" x14ac:dyDescent="0.2">
      <c r="A97" s="19"/>
      <c r="B97" s="36"/>
      <c r="C97" s="36"/>
      <c r="D97" s="36"/>
      <c r="E97" s="36"/>
      <c r="F97" s="36"/>
      <c r="G97" s="36"/>
      <c r="H97" s="36"/>
      <c r="I97" s="36"/>
      <c r="J97" s="36"/>
    </row>
    <row r="98" spans="1:10" x14ac:dyDescent="0.2">
      <c r="A98" s="7" t="s">
        <v>67</v>
      </c>
      <c r="B98" s="36"/>
      <c r="C98" s="36"/>
      <c r="D98" s="36"/>
      <c r="E98" s="36"/>
      <c r="F98" s="36"/>
      <c r="G98" s="36"/>
      <c r="H98" s="36"/>
      <c r="I98" s="36"/>
      <c r="J98" s="36"/>
    </row>
    <row r="99" spans="1:10" x14ac:dyDescent="0.2">
      <c r="A99" s="19" t="s">
        <v>59</v>
      </c>
      <c r="B99" s="33">
        <v>0</v>
      </c>
      <c r="C99" s="36"/>
      <c r="D99" s="35">
        <v>0</v>
      </c>
      <c r="E99" s="34"/>
      <c r="F99" s="35">
        <v>0</v>
      </c>
      <c r="G99" s="34"/>
      <c r="H99" s="35">
        <v>0</v>
      </c>
      <c r="I99" s="34"/>
      <c r="J99" s="35">
        <v>0</v>
      </c>
    </row>
    <row r="100" spans="1:10" x14ac:dyDescent="0.2">
      <c r="A100" s="19" t="s">
        <v>60</v>
      </c>
      <c r="B100" s="33">
        <v>0</v>
      </c>
      <c r="C100" s="36"/>
      <c r="D100" s="35">
        <v>0</v>
      </c>
      <c r="E100" s="34"/>
      <c r="F100" s="35">
        <v>0</v>
      </c>
      <c r="G100" s="34"/>
      <c r="H100" s="35">
        <v>0</v>
      </c>
      <c r="I100" s="34"/>
      <c r="J100" s="35">
        <v>0</v>
      </c>
    </row>
    <row r="101" spans="1:10" x14ac:dyDescent="0.2">
      <c r="A101" s="19" t="s">
        <v>62</v>
      </c>
      <c r="B101" s="33">
        <v>0</v>
      </c>
      <c r="C101" s="36"/>
      <c r="D101" s="35">
        <v>0</v>
      </c>
      <c r="E101" s="34"/>
      <c r="F101" s="35">
        <v>0</v>
      </c>
      <c r="G101" s="34"/>
      <c r="H101" s="35">
        <v>0</v>
      </c>
      <c r="I101" s="34"/>
      <c r="J101" s="35">
        <v>0</v>
      </c>
    </row>
    <row r="102" spans="1:10" x14ac:dyDescent="0.2">
      <c r="A102" s="19" t="s">
        <v>63</v>
      </c>
      <c r="B102" s="33">
        <v>0</v>
      </c>
      <c r="C102" s="36"/>
      <c r="D102" s="35">
        <v>0</v>
      </c>
      <c r="E102" s="34"/>
      <c r="F102" s="35">
        <v>0</v>
      </c>
      <c r="G102" s="34"/>
      <c r="H102" s="35">
        <v>0</v>
      </c>
      <c r="I102" s="34"/>
      <c r="J102" s="35">
        <v>0</v>
      </c>
    </row>
    <row r="103" spans="1:10" x14ac:dyDescent="0.2">
      <c r="A103" s="19" t="s">
        <v>64</v>
      </c>
      <c r="B103" s="33">
        <v>-0.44</v>
      </c>
      <c r="C103" s="36"/>
      <c r="D103" s="35">
        <v>-0.11</v>
      </c>
      <c r="E103" s="34"/>
      <c r="F103" s="35">
        <v>-0.05</v>
      </c>
      <c r="G103" s="34"/>
      <c r="H103" s="35">
        <v>-0.17</v>
      </c>
      <c r="I103" s="34"/>
      <c r="J103" s="35">
        <v>-0.11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Formulas="1" workbookViewId="0">
      <selection activeCell="E15" sqref="E15"/>
    </sheetView>
  </sheetViews>
  <sheetFormatPr defaultRowHeight="12.75" x14ac:dyDescent="0.2"/>
  <sheetData>
    <row r="1" spans="1:6" x14ac:dyDescent="0.2">
      <c r="A1" s="1"/>
      <c r="B1" s="2" t="s">
        <v>8</v>
      </c>
      <c r="C1" s="1"/>
      <c r="D1" s="1"/>
    </row>
    <row r="2" spans="1:6" x14ac:dyDescent="0.2">
      <c r="A2" s="2" t="s">
        <v>9</v>
      </c>
      <c r="B2" s="5" t="s">
        <v>0</v>
      </c>
      <c r="C2" s="5" t="s">
        <v>12</v>
      </c>
      <c r="D2" s="5" t="s">
        <v>1</v>
      </c>
    </row>
    <row r="3" spans="1:6" x14ac:dyDescent="0.2">
      <c r="A3" s="3" t="s">
        <v>2</v>
      </c>
      <c r="B3" s="1">
        <v>200</v>
      </c>
      <c r="C3" s="1">
        <v>0</v>
      </c>
      <c r="D3" s="6">
        <f>B3+C3</f>
        <v>200</v>
      </c>
    </row>
    <row r="4" spans="1:6" x14ac:dyDescent="0.2">
      <c r="A4" s="4" t="s">
        <v>3</v>
      </c>
      <c r="B4" s="1">
        <v>220</v>
      </c>
      <c r="C4" s="1">
        <v>0</v>
      </c>
      <c r="D4" s="6">
        <f t="shared" ref="D4:D8" si="0">B4+C4</f>
        <v>220</v>
      </c>
    </row>
    <row r="5" spans="1:6" x14ac:dyDescent="0.2">
      <c r="A5" s="4" t="s">
        <v>4</v>
      </c>
      <c r="B5" s="1">
        <v>220</v>
      </c>
      <c r="C5" s="1">
        <v>200</v>
      </c>
      <c r="D5" s="6">
        <f t="shared" si="0"/>
        <v>420</v>
      </c>
    </row>
    <row r="6" spans="1:6" x14ac:dyDescent="0.2">
      <c r="A6" s="4" t="s">
        <v>5</v>
      </c>
      <c r="B6" s="1">
        <v>0</v>
      </c>
      <c r="C6" s="1">
        <v>300</v>
      </c>
      <c r="D6" s="6">
        <f t="shared" si="0"/>
        <v>300</v>
      </c>
    </row>
    <row r="7" spans="1:6" x14ac:dyDescent="0.2">
      <c r="A7" s="4" t="s">
        <v>6</v>
      </c>
      <c r="B7" s="1">
        <v>0</v>
      </c>
      <c r="C7" s="1">
        <v>170</v>
      </c>
      <c r="D7" s="6">
        <f t="shared" si="0"/>
        <v>170</v>
      </c>
    </row>
    <row r="8" spans="1:6" x14ac:dyDescent="0.2">
      <c r="A8" s="4" t="s">
        <v>7</v>
      </c>
      <c r="B8" s="1">
        <v>0</v>
      </c>
      <c r="C8" s="1">
        <v>210</v>
      </c>
      <c r="D8" s="6">
        <f t="shared" si="0"/>
        <v>210</v>
      </c>
    </row>
    <row r="14" spans="1:6" x14ac:dyDescent="0.2">
      <c r="C14" s="1"/>
      <c r="D14" s="2" t="s">
        <v>8</v>
      </c>
      <c r="E14" s="1"/>
      <c r="F14" s="1"/>
    </row>
    <row r="15" spans="1:6" x14ac:dyDescent="0.2">
      <c r="C15" s="2" t="s">
        <v>9</v>
      </c>
      <c r="D15" s="5" t="s">
        <v>0</v>
      </c>
      <c r="E15" s="5" t="s">
        <v>12</v>
      </c>
      <c r="F15" s="5" t="s">
        <v>1</v>
      </c>
    </row>
    <row r="16" spans="1:6" x14ac:dyDescent="0.2">
      <c r="C16" s="3" t="s">
        <v>2</v>
      </c>
      <c r="D16" s="1">
        <v>200</v>
      </c>
      <c r="E16" s="1">
        <v>0</v>
      </c>
      <c r="F16" s="6">
        <v>200</v>
      </c>
    </row>
    <row r="17" spans="3:6" x14ac:dyDescent="0.2">
      <c r="C17" s="4" t="s">
        <v>3</v>
      </c>
      <c r="D17" s="1">
        <v>220</v>
      </c>
      <c r="E17" s="1">
        <v>0</v>
      </c>
      <c r="F17" s="6">
        <v>220</v>
      </c>
    </row>
    <row r="18" spans="3:6" x14ac:dyDescent="0.2">
      <c r="C18" s="4" t="s">
        <v>4</v>
      </c>
      <c r="D18" s="1">
        <v>220</v>
      </c>
      <c r="E18" s="1">
        <v>200</v>
      </c>
      <c r="F18" s="6">
        <f>D18+E18</f>
        <v>420</v>
      </c>
    </row>
    <row r="19" spans="3:6" x14ac:dyDescent="0.2">
      <c r="C19" s="4" t="s">
        <v>5</v>
      </c>
      <c r="D19" s="1">
        <v>0</v>
      </c>
      <c r="E19" s="1">
        <v>300</v>
      </c>
      <c r="F19" s="6">
        <v>300</v>
      </c>
    </row>
    <row r="20" spans="3:6" x14ac:dyDescent="0.2">
      <c r="C20" s="4" t="s">
        <v>6</v>
      </c>
      <c r="D20" s="1">
        <v>0</v>
      </c>
      <c r="E20" s="1">
        <v>170</v>
      </c>
      <c r="F20" s="6">
        <v>170</v>
      </c>
    </row>
    <row r="21" spans="3:6" x14ac:dyDescent="0.2">
      <c r="C21" s="4" t="s">
        <v>7</v>
      </c>
      <c r="D21" s="1">
        <v>0</v>
      </c>
      <c r="E21" s="1">
        <v>210</v>
      </c>
      <c r="F21" s="6">
        <v>210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Formulas="1" workbookViewId="0">
      <selection activeCell="C16" sqref="C16"/>
    </sheetView>
  </sheetViews>
  <sheetFormatPr defaultRowHeight="12.75" x14ac:dyDescent="0.2"/>
  <sheetData>
    <row r="1" spans="1:6" x14ac:dyDescent="0.2">
      <c r="A1" s="1"/>
      <c r="B1" s="2" t="s">
        <v>8</v>
      </c>
      <c r="C1" s="1"/>
      <c r="D1" s="1"/>
    </row>
    <row r="2" spans="1:6" x14ac:dyDescent="0.2">
      <c r="A2" s="2" t="s">
        <v>9</v>
      </c>
      <c r="B2" s="5" t="s">
        <v>0</v>
      </c>
      <c r="C2" s="5" t="s">
        <v>12</v>
      </c>
      <c r="D2" s="5" t="s">
        <v>1</v>
      </c>
    </row>
    <row r="3" spans="1:6" x14ac:dyDescent="0.2">
      <c r="A3" s="3" t="s">
        <v>2</v>
      </c>
      <c r="B3" s="1">
        <v>200</v>
      </c>
      <c r="C3" s="1">
        <v>0</v>
      </c>
      <c r="D3" s="6">
        <f>B3+C3</f>
        <v>200</v>
      </c>
    </row>
    <row r="4" spans="1:6" x14ac:dyDescent="0.2">
      <c r="A4" s="4" t="s">
        <v>3</v>
      </c>
      <c r="B4" s="1">
        <v>220</v>
      </c>
      <c r="C4" s="1">
        <v>0</v>
      </c>
      <c r="D4" s="6">
        <f t="shared" ref="D4:D5" si="0">B4+C4</f>
        <v>220</v>
      </c>
    </row>
    <row r="5" spans="1:6" x14ac:dyDescent="0.2">
      <c r="A5" s="4" t="s">
        <v>4</v>
      </c>
      <c r="B5" s="1">
        <v>220</v>
      </c>
      <c r="C5" s="1">
        <v>200</v>
      </c>
      <c r="D5" s="6">
        <f t="shared" si="0"/>
        <v>420</v>
      </c>
    </row>
    <row r="6" spans="1:6" x14ac:dyDescent="0.2">
      <c r="A6" s="4" t="s">
        <v>5</v>
      </c>
      <c r="B6" s="1">
        <v>0</v>
      </c>
      <c r="C6" s="1">
        <v>300</v>
      </c>
      <c r="D6" s="6">
        <f>B6-C6</f>
        <v>-300</v>
      </c>
    </row>
    <row r="7" spans="1:6" x14ac:dyDescent="0.2">
      <c r="A7" s="4" t="s">
        <v>6</v>
      </c>
      <c r="B7" s="1">
        <v>0</v>
      </c>
      <c r="C7" s="1">
        <v>170</v>
      </c>
      <c r="D7" s="6">
        <f>B7-C7</f>
        <v>-170</v>
      </c>
    </row>
    <row r="8" spans="1:6" x14ac:dyDescent="0.2">
      <c r="A8" s="4" t="s">
        <v>7</v>
      </c>
      <c r="B8" s="1">
        <v>0</v>
      </c>
      <c r="C8" s="1">
        <v>210</v>
      </c>
      <c r="D8" s="6">
        <f>B8-C8</f>
        <v>-210</v>
      </c>
    </row>
    <row r="14" spans="1:6" x14ac:dyDescent="0.2">
      <c r="C14" s="1"/>
      <c r="D14" s="2"/>
      <c r="E14" s="1"/>
      <c r="F14" s="1"/>
    </row>
    <row r="15" spans="1:6" x14ac:dyDescent="0.2">
      <c r="C15" s="2"/>
      <c r="D15" s="5"/>
      <c r="E15" s="5"/>
      <c r="F15" s="5"/>
    </row>
    <row r="16" spans="1:6" x14ac:dyDescent="0.2">
      <c r="C16" s="3"/>
      <c r="D16" s="1"/>
      <c r="E16" s="1"/>
      <c r="F16" s="6"/>
    </row>
    <row r="17" spans="3:6" x14ac:dyDescent="0.2">
      <c r="C17" s="4"/>
      <c r="D17" s="1"/>
      <c r="E17" s="1"/>
      <c r="F17" s="6"/>
    </row>
    <row r="18" spans="3:6" x14ac:dyDescent="0.2">
      <c r="C18" s="4"/>
      <c r="D18" s="1"/>
      <c r="E18" s="1"/>
      <c r="F18" s="6"/>
    </row>
    <row r="19" spans="3:6" x14ac:dyDescent="0.2">
      <c r="C19" s="4"/>
      <c r="D19" s="1"/>
      <c r="E19" s="1"/>
      <c r="F19" s="6"/>
    </row>
    <row r="20" spans="3:6" x14ac:dyDescent="0.2">
      <c r="C20" s="4"/>
      <c r="D20" s="1"/>
      <c r="E20" s="1"/>
      <c r="F20" s="6"/>
    </row>
    <row r="21" spans="3:6" x14ac:dyDescent="0.2">
      <c r="C21" s="4"/>
      <c r="D21" s="1"/>
      <c r="E21" s="1"/>
      <c r="F21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AmCheck</vt:lpstr>
      <vt:lpstr>CACheck</vt:lpstr>
      <vt:lpstr>CUSTODES</vt:lpstr>
      <vt:lpstr>CC2s</vt:lpstr>
      <vt:lpstr>TableCheck-1</vt:lpstr>
      <vt:lpstr>TableCheck-2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张瑞青</dc:creator>
  <cp:lastModifiedBy>Richie</cp:lastModifiedBy>
  <dcterms:created xsi:type="dcterms:W3CDTF">2017-03-21T08:04:08Z</dcterms:created>
  <dcterms:modified xsi:type="dcterms:W3CDTF">2017-05-23T07:40:40Z</dcterms:modified>
</cp:coreProperties>
</file>